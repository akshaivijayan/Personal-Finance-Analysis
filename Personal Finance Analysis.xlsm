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ml.chartshap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https://d.docs.live.net/559fbc4d3dcedfb0/Desktop/Excel Projects/"/>
    </mc:Choice>
  </mc:AlternateContent>
  <xr:revisionPtr revIDLastSave="0" documentId="8_{6FEFADEB-063C-4831-85E9-92F853D3D4FD}" xr6:coauthVersionLast="47" xr6:coauthVersionMax="47" xr10:uidLastSave="{00000000-0000-0000-0000-000000000000}"/>
  <bookViews>
    <workbookView xWindow="-108" yWindow="-108" windowWidth="23256" windowHeight="12456" tabRatio="594" activeTab="2" xr2:uid="{65413B0E-DDC6-419D-869E-C7057D34DCD4}"/>
  </bookViews>
  <sheets>
    <sheet name="PF Data" sheetId="1" r:id="rId1"/>
    <sheet name="Analysis" sheetId="4" r:id="rId2"/>
    <sheet name="PF Dashboard" sheetId="3" r:id="rId3"/>
  </sheets>
  <externalReferences>
    <externalReference r:id="rId4"/>
  </externalReferences>
  <definedNames>
    <definedName name="_xlchart.v5.0" hidden="1">Analysis!$G$5:$G$14</definedName>
    <definedName name="_xlchart.v5.1" hidden="1">Analysis!$H$4</definedName>
    <definedName name="_xlchart.v5.2" hidden="1">Analysis!$H$5:$H$14</definedName>
    <definedName name="_xlchart.v5.3" hidden="1">Analysis!$G$5:$G$14</definedName>
    <definedName name="_xlchart.v5.4" hidden="1">Analysis!$H$4</definedName>
    <definedName name="_xlchart.v5.5" hidden="1">Analysis!$H$5:$H$14</definedName>
    <definedName name="Slicer_Category">#N/A</definedName>
    <definedName name="Slicer_Month_Number">#N/A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A21" i="4" l="1"/>
  <c r="H333" i="1"/>
  <c r="I333" i="1"/>
  <c r="J333" i="1"/>
  <c r="H276" i="1"/>
  <c r="I276" i="1"/>
  <c r="J276" i="1"/>
  <c r="H182" i="1"/>
  <c r="I182" i="1"/>
  <c r="J182" i="1"/>
  <c r="H23" i="1"/>
  <c r="I23" i="1"/>
  <c r="J23" i="1"/>
  <c r="H61" i="1"/>
  <c r="I61" i="1"/>
  <c r="J61" i="1"/>
  <c r="H122" i="1" l="1"/>
  <c r="Y20" i="4"/>
  <c r="Y24" i="4"/>
  <c r="Y23" i="4"/>
  <c r="Y21" i="4"/>
  <c r="Y22" i="4"/>
  <c r="Y25" i="4"/>
  <c r="Y26" i="4"/>
  <c r="Y27" i="4"/>
  <c r="Y28" i="4" l="1"/>
  <c r="H2" i="1"/>
  <c r="I2" i="1"/>
  <c r="J2" i="1"/>
  <c r="H3" i="1"/>
  <c r="I3" i="1"/>
  <c r="J3" i="1"/>
  <c r="H4" i="1"/>
  <c r="I4" i="1"/>
  <c r="J4" i="1"/>
  <c r="H5" i="1"/>
  <c r="I5" i="1"/>
  <c r="J5" i="1"/>
  <c r="H6" i="1"/>
  <c r="I6" i="1"/>
  <c r="J6" i="1"/>
  <c r="H7" i="1"/>
  <c r="I7" i="1"/>
  <c r="J7" i="1"/>
  <c r="H8" i="1"/>
  <c r="I8" i="1"/>
  <c r="J8" i="1"/>
  <c r="H9" i="1"/>
  <c r="I9" i="1"/>
  <c r="J9" i="1"/>
  <c r="H10" i="1"/>
  <c r="I10" i="1"/>
  <c r="J10" i="1"/>
  <c r="H11" i="1"/>
  <c r="I11" i="1"/>
  <c r="J11" i="1"/>
  <c r="H12" i="1"/>
  <c r="I12" i="1"/>
  <c r="J12" i="1"/>
  <c r="H13" i="1"/>
  <c r="I13" i="1"/>
  <c r="J13" i="1"/>
  <c r="H14" i="1"/>
  <c r="I14" i="1"/>
  <c r="J14" i="1"/>
  <c r="H15" i="1"/>
  <c r="I15" i="1"/>
  <c r="J15" i="1"/>
  <c r="H16" i="1"/>
  <c r="I16" i="1"/>
  <c r="J16" i="1"/>
  <c r="H17" i="1"/>
  <c r="I17" i="1"/>
  <c r="J17" i="1"/>
  <c r="H18" i="1"/>
  <c r="I18" i="1"/>
  <c r="J18" i="1"/>
  <c r="H19" i="1"/>
  <c r="I19" i="1"/>
  <c r="J19" i="1"/>
  <c r="H20" i="1"/>
  <c r="I20" i="1"/>
  <c r="J20" i="1"/>
  <c r="H21" i="1"/>
  <c r="I21" i="1"/>
  <c r="J21" i="1"/>
  <c r="H22" i="1"/>
  <c r="I22" i="1"/>
  <c r="J22"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H49" i="1"/>
  <c r="I49" i="1"/>
  <c r="J49" i="1"/>
  <c r="H50" i="1"/>
  <c r="I50" i="1"/>
  <c r="J50" i="1"/>
  <c r="H51" i="1"/>
  <c r="I51" i="1"/>
  <c r="J51" i="1"/>
  <c r="H52" i="1"/>
  <c r="I52" i="1"/>
  <c r="J52" i="1"/>
  <c r="H53" i="1"/>
  <c r="I53" i="1"/>
  <c r="J53" i="1"/>
  <c r="H54" i="1"/>
  <c r="I54" i="1"/>
  <c r="J54" i="1"/>
  <c r="H55" i="1"/>
  <c r="I55" i="1"/>
  <c r="J55" i="1"/>
  <c r="H56" i="1"/>
  <c r="I56" i="1"/>
  <c r="J56" i="1"/>
  <c r="H57" i="1"/>
  <c r="I57" i="1"/>
  <c r="J57" i="1"/>
  <c r="H58" i="1"/>
  <c r="I58" i="1"/>
  <c r="J58" i="1"/>
  <c r="H59" i="1"/>
  <c r="I59" i="1"/>
  <c r="J59" i="1"/>
  <c r="H60" i="1"/>
  <c r="I60" i="1"/>
  <c r="J60" i="1"/>
  <c r="H62" i="1"/>
  <c r="I62" i="1"/>
  <c r="J62" i="1"/>
  <c r="H63" i="1"/>
  <c r="I63" i="1"/>
  <c r="J63" i="1"/>
  <c r="H64" i="1"/>
  <c r="I64" i="1"/>
  <c r="J64" i="1"/>
  <c r="H65" i="1"/>
  <c r="I65" i="1"/>
  <c r="J65" i="1"/>
  <c r="H66" i="1"/>
  <c r="I66" i="1"/>
  <c r="J66" i="1"/>
  <c r="H67" i="1"/>
  <c r="I67" i="1"/>
  <c r="J67" i="1"/>
  <c r="H68" i="1"/>
  <c r="I68" i="1"/>
  <c r="J68" i="1"/>
  <c r="H69" i="1"/>
  <c r="I69" i="1"/>
  <c r="J69" i="1"/>
  <c r="H70" i="1"/>
  <c r="I70" i="1"/>
  <c r="J70" i="1"/>
  <c r="H71" i="1"/>
  <c r="I71" i="1"/>
  <c r="J71" i="1"/>
  <c r="H72" i="1"/>
  <c r="I72" i="1"/>
  <c r="J72"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H108" i="1"/>
  <c r="I108" i="1"/>
  <c r="J108" i="1"/>
  <c r="H109" i="1"/>
  <c r="I109" i="1"/>
  <c r="J109" i="1"/>
  <c r="H110" i="1"/>
  <c r="I110" i="1"/>
  <c r="J110" i="1"/>
  <c r="H111" i="1"/>
  <c r="I111" i="1"/>
  <c r="J111" i="1"/>
  <c r="H112" i="1"/>
  <c r="I112" i="1"/>
  <c r="J112" i="1"/>
  <c r="H113" i="1"/>
  <c r="I113" i="1"/>
  <c r="J113" i="1"/>
  <c r="H114" i="1"/>
  <c r="I114" i="1"/>
  <c r="J114" i="1"/>
  <c r="H115" i="1"/>
  <c r="I115" i="1"/>
  <c r="J115" i="1"/>
  <c r="H116" i="1"/>
  <c r="I116" i="1"/>
  <c r="J116" i="1"/>
  <c r="H117" i="1"/>
  <c r="I117" i="1"/>
  <c r="J117" i="1"/>
  <c r="H118" i="1"/>
  <c r="I118" i="1"/>
  <c r="J118" i="1"/>
  <c r="H119" i="1"/>
  <c r="I119" i="1"/>
  <c r="J119" i="1"/>
  <c r="H120" i="1"/>
  <c r="I120" i="1"/>
  <c r="J120" i="1"/>
  <c r="H121" i="1"/>
  <c r="I121" i="1"/>
  <c r="J121" i="1"/>
  <c r="I122" i="1"/>
  <c r="J122" i="1"/>
  <c r="H123" i="1"/>
  <c r="I123" i="1"/>
  <c r="J123" i="1"/>
  <c r="H124" i="1"/>
  <c r="I124" i="1"/>
  <c r="J124" i="1"/>
  <c r="H125" i="1"/>
  <c r="I125" i="1"/>
  <c r="J125" i="1"/>
  <c r="H126" i="1"/>
  <c r="I126" i="1"/>
  <c r="J126" i="1"/>
  <c r="H127" i="1"/>
  <c r="I127" i="1"/>
  <c r="J127" i="1"/>
  <c r="H128" i="1"/>
  <c r="I128" i="1"/>
  <c r="J128" i="1"/>
  <c r="H129" i="1"/>
  <c r="I129" i="1"/>
  <c r="J129" i="1"/>
  <c r="H130" i="1"/>
  <c r="I130" i="1"/>
  <c r="J130" i="1"/>
  <c r="H131" i="1"/>
  <c r="I131" i="1"/>
  <c r="J131" i="1"/>
  <c r="H132" i="1"/>
  <c r="I132" i="1"/>
  <c r="J132" i="1"/>
  <c r="H133" i="1"/>
  <c r="I133" i="1"/>
  <c r="J133" i="1"/>
  <c r="H134" i="1"/>
  <c r="I134" i="1"/>
  <c r="J134" i="1"/>
  <c r="H135" i="1"/>
  <c r="I135" i="1"/>
  <c r="J135" i="1"/>
  <c r="H136" i="1"/>
  <c r="I136" i="1"/>
  <c r="J136" i="1"/>
  <c r="H137" i="1"/>
  <c r="I137" i="1"/>
  <c r="J137" i="1"/>
  <c r="H138" i="1"/>
  <c r="I138" i="1"/>
  <c r="J138" i="1"/>
  <c r="H139" i="1"/>
  <c r="I139" i="1"/>
  <c r="J139" i="1"/>
  <c r="H140" i="1"/>
  <c r="I140" i="1"/>
  <c r="J140" i="1"/>
  <c r="H141" i="1"/>
  <c r="I141" i="1"/>
  <c r="J141" i="1"/>
  <c r="H142" i="1"/>
  <c r="I142" i="1"/>
  <c r="J142" i="1"/>
  <c r="H143" i="1"/>
  <c r="I143" i="1"/>
  <c r="J143" i="1"/>
  <c r="H144" i="1"/>
  <c r="I144" i="1"/>
  <c r="J144" i="1"/>
  <c r="H145" i="1"/>
  <c r="I145" i="1"/>
  <c r="J145" i="1"/>
  <c r="H146" i="1"/>
  <c r="I146" i="1"/>
  <c r="J146" i="1"/>
  <c r="H147" i="1"/>
  <c r="I147" i="1"/>
  <c r="J147" i="1"/>
  <c r="H148" i="1"/>
  <c r="I148" i="1"/>
  <c r="J148" i="1"/>
  <c r="H149" i="1"/>
  <c r="I149" i="1"/>
  <c r="J149" i="1"/>
  <c r="H150" i="1"/>
  <c r="I150" i="1"/>
  <c r="J150" i="1"/>
  <c r="H151" i="1"/>
  <c r="I151" i="1"/>
  <c r="J151" i="1"/>
  <c r="H152" i="1"/>
  <c r="I152" i="1"/>
  <c r="J152" i="1"/>
  <c r="H153" i="1"/>
  <c r="I153" i="1"/>
  <c r="J153" i="1"/>
  <c r="H154" i="1"/>
  <c r="I154" i="1"/>
  <c r="J154" i="1"/>
  <c r="H155" i="1"/>
  <c r="I155" i="1"/>
  <c r="J155" i="1"/>
  <c r="H156" i="1"/>
  <c r="I156" i="1"/>
  <c r="J156" i="1"/>
  <c r="H157" i="1"/>
  <c r="I157" i="1"/>
  <c r="J157" i="1"/>
  <c r="H158" i="1"/>
  <c r="I158" i="1"/>
  <c r="J158" i="1"/>
  <c r="H159" i="1"/>
  <c r="I159" i="1"/>
  <c r="J159" i="1"/>
  <c r="H160" i="1"/>
  <c r="I160" i="1"/>
  <c r="J160" i="1"/>
  <c r="H161" i="1"/>
  <c r="I161" i="1"/>
  <c r="J161" i="1"/>
  <c r="H162" i="1"/>
  <c r="I162" i="1"/>
  <c r="J162" i="1"/>
  <c r="H163" i="1"/>
  <c r="I163" i="1"/>
  <c r="J163" i="1"/>
  <c r="H164" i="1"/>
  <c r="I164" i="1"/>
  <c r="J164" i="1"/>
  <c r="H165" i="1"/>
  <c r="I165" i="1"/>
  <c r="J165" i="1"/>
  <c r="H166" i="1"/>
  <c r="I166" i="1"/>
  <c r="J166" i="1"/>
  <c r="H167" i="1"/>
  <c r="I167" i="1"/>
  <c r="J167" i="1"/>
  <c r="H168" i="1"/>
  <c r="I168" i="1"/>
  <c r="J168" i="1"/>
  <c r="H169" i="1"/>
  <c r="I169" i="1"/>
  <c r="J169" i="1"/>
  <c r="H170" i="1"/>
  <c r="I170" i="1"/>
  <c r="J170" i="1"/>
  <c r="H171" i="1"/>
  <c r="I171" i="1"/>
  <c r="J171" i="1"/>
  <c r="H172" i="1"/>
  <c r="I172" i="1"/>
  <c r="J172" i="1"/>
  <c r="H173" i="1"/>
  <c r="I173" i="1"/>
  <c r="J173" i="1"/>
  <c r="H174" i="1"/>
  <c r="I174" i="1"/>
  <c r="J174" i="1"/>
  <c r="H175" i="1"/>
  <c r="I175" i="1"/>
  <c r="J175" i="1"/>
  <c r="H176" i="1"/>
  <c r="I176" i="1"/>
  <c r="J176" i="1"/>
  <c r="H177" i="1"/>
  <c r="I177" i="1"/>
  <c r="J177" i="1"/>
  <c r="H178" i="1"/>
  <c r="I178" i="1"/>
  <c r="J178" i="1"/>
  <c r="H179" i="1"/>
  <c r="I179" i="1"/>
  <c r="J179" i="1"/>
  <c r="H180" i="1"/>
  <c r="I180" i="1"/>
  <c r="J180" i="1"/>
  <c r="H181" i="1"/>
  <c r="I181" i="1"/>
  <c r="J181" i="1"/>
  <c r="H183" i="1"/>
  <c r="I183" i="1"/>
  <c r="J183" i="1"/>
  <c r="H184" i="1"/>
  <c r="I184" i="1"/>
  <c r="J184" i="1"/>
  <c r="H185" i="1"/>
  <c r="I185" i="1"/>
  <c r="J185" i="1"/>
  <c r="H186" i="1"/>
  <c r="I186" i="1"/>
  <c r="J186" i="1"/>
  <c r="H187" i="1"/>
  <c r="I187" i="1"/>
  <c r="J187" i="1"/>
  <c r="H188" i="1"/>
  <c r="I188" i="1"/>
  <c r="J188" i="1"/>
  <c r="H189" i="1"/>
  <c r="I189" i="1"/>
  <c r="J189" i="1"/>
  <c r="H190" i="1"/>
  <c r="I190" i="1"/>
  <c r="J190" i="1"/>
  <c r="H191" i="1"/>
  <c r="I191" i="1"/>
  <c r="J191" i="1"/>
  <c r="H192" i="1"/>
  <c r="I192" i="1"/>
  <c r="J192" i="1"/>
  <c r="H193" i="1"/>
  <c r="I193" i="1"/>
  <c r="J193" i="1"/>
  <c r="H194" i="1"/>
  <c r="I194" i="1"/>
  <c r="J194" i="1"/>
  <c r="H195" i="1"/>
  <c r="I195" i="1"/>
  <c r="J195" i="1"/>
  <c r="H196" i="1"/>
  <c r="I196" i="1"/>
  <c r="J196" i="1"/>
  <c r="H197" i="1"/>
  <c r="I197" i="1"/>
  <c r="J197" i="1"/>
  <c r="H198" i="1"/>
  <c r="I198" i="1"/>
  <c r="J198" i="1"/>
  <c r="H199" i="1"/>
  <c r="I199" i="1"/>
  <c r="J199" i="1"/>
  <c r="H200" i="1"/>
  <c r="I200" i="1"/>
  <c r="J200" i="1"/>
  <c r="H201" i="1"/>
  <c r="I201" i="1"/>
  <c r="J201" i="1"/>
  <c r="H202" i="1"/>
  <c r="I202" i="1"/>
  <c r="J202" i="1"/>
  <c r="H203" i="1"/>
  <c r="I203" i="1"/>
  <c r="J203" i="1"/>
  <c r="H204" i="1"/>
  <c r="I204" i="1"/>
  <c r="J204" i="1"/>
  <c r="H205" i="1"/>
  <c r="I205" i="1"/>
  <c r="J205" i="1"/>
  <c r="H206" i="1"/>
  <c r="I206" i="1"/>
  <c r="J206" i="1"/>
  <c r="H207" i="1"/>
  <c r="I207" i="1"/>
  <c r="J207" i="1"/>
  <c r="H208" i="1"/>
  <c r="I208" i="1"/>
  <c r="J208" i="1"/>
  <c r="H209" i="1"/>
  <c r="I209" i="1"/>
  <c r="J209" i="1"/>
  <c r="H210" i="1"/>
  <c r="I210" i="1"/>
  <c r="J210" i="1"/>
  <c r="H211" i="1"/>
  <c r="I211" i="1"/>
  <c r="J211" i="1"/>
  <c r="H212" i="1"/>
  <c r="I212" i="1"/>
  <c r="J212" i="1"/>
  <c r="H213" i="1"/>
  <c r="I213" i="1"/>
  <c r="J213" i="1"/>
  <c r="H214" i="1"/>
  <c r="I214" i="1"/>
  <c r="J214" i="1"/>
  <c r="H215" i="1"/>
  <c r="I215" i="1"/>
  <c r="J215" i="1"/>
  <c r="H216" i="1"/>
  <c r="I216" i="1"/>
  <c r="J216" i="1"/>
  <c r="H217" i="1"/>
  <c r="I217" i="1"/>
  <c r="J217" i="1"/>
  <c r="H218" i="1"/>
  <c r="I218" i="1"/>
  <c r="J218" i="1"/>
  <c r="H219" i="1"/>
  <c r="I219" i="1"/>
  <c r="J219" i="1"/>
  <c r="H220" i="1"/>
  <c r="I220" i="1"/>
  <c r="J220" i="1"/>
  <c r="H221" i="1"/>
  <c r="I221" i="1"/>
  <c r="J221" i="1"/>
  <c r="H222" i="1"/>
  <c r="I222" i="1"/>
  <c r="J222" i="1"/>
  <c r="H223" i="1"/>
  <c r="I223" i="1"/>
  <c r="J223" i="1"/>
  <c r="H224" i="1"/>
  <c r="I224" i="1"/>
  <c r="J224" i="1"/>
  <c r="H225" i="1"/>
  <c r="I225" i="1"/>
  <c r="J225" i="1"/>
  <c r="H226" i="1"/>
  <c r="I226" i="1"/>
  <c r="J226" i="1"/>
  <c r="H227" i="1"/>
  <c r="I227" i="1"/>
  <c r="J227" i="1"/>
  <c r="H228" i="1"/>
  <c r="I228" i="1"/>
  <c r="J228" i="1"/>
  <c r="H229" i="1"/>
  <c r="I229" i="1"/>
  <c r="J229" i="1"/>
  <c r="H230" i="1"/>
  <c r="I230" i="1"/>
  <c r="J230" i="1"/>
  <c r="H231" i="1"/>
  <c r="I231" i="1"/>
  <c r="J231" i="1"/>
  <c r="H232" i="1"/>
  <c r="I232" i="1"/>
  <c r="J232" i="1"/>
  <c r="H233" i="1"/>
  <c r="I233" i="1"/>
  <c r="J233" i="1"/>
  <c r="H234" i="1"/>
  <c r="I234" i="1"/>
  <c r="J234" i="1"/>
  <c r="H235" i="1"/>
  <c r="I235" i="1"/>
  <c r="J235" i="1"/>
  <c r="H236" i="1"/>
  <c r="I236" i="1"/>
  <c r="J236" i="1"/>
  <c r="H237" i="1"/>
  <c r="I237" i="1"/>
  <c r="J237" i="1"/>
  <c r="H238" i="1"/>
  <c r="I238" i="1"/>
  <c r="J238" i="1"/>
  <c r="H239" i="1"/>
  <c r="I239" i="1"/>
  <c r="J239" i="1"/>
  <c r="H240" i="1"/>
  <c r="I240" i="1"/>
  <c r="J240" i="1"/>
  <c r="H241" i="1"/>
  <c r="I241" i="1"/>
  <c r="J241" i="1"/>
  <c r="H242" i="1"/>
  <c r="I242" i="1"/>
  <c r="J242" i="1"/>
  <c r="H243" i="1"/>
  <c r="I243" i="1"/>
  <c r="J243" i="1"/>
  <c r="H244" i="1"/>
  <c r="I244" i="1"/>
  <c r="J244" i="1"/>
  <c r="H245" i="1"/>
  <c r="I245" i="1"/>
  <c r="J245" i="1"/>
  <c r="H246" i="1"/>
  <c r="I246" i="1"/>
  <c r="J246" i="1"/>
  <c r="H247" i="1"/>
  <c r="I247" i="1"/>
  <c r="J247" i="1"/>
  <c r="H248" i="1"/>
  <c r="I248" i="1"/>
  <c r="J248" i="1"/>
  <c r="H249" i="1"/>
  <c r="I249" i="1"/>
  <c r="J249" i="1"/>
  <c r="H250" i="1"/>
  <c r="I250" i="1"/>
  <c r="J250" i="1"/>
  <c r="H251" i="1"/>
  <c r="I251" i="1"/>
  <c r="J251" i="1"/>
  <c r="H252" i="1"/>
  <c r="I252" i="1"/>
  <c r="J252" i="1"/>
  <c r="H253" i="1"/>
  <c r="I253" i="1"/>
  <c r="J253" i="1"/>
  <c r="H254" i="1"/>
  <c r="I254" i="1"/>
  <c r="J254" i="1"/>
  <c r="H255" i="1"/>
  <c r="I255" i="1"/>
  <c r="J255" i="1"/>
  <c r="H256" i="1"/>
  <c r="I256" i="1"/>
  <c r="J256" i="1"/>
  <c r="H257" i="1"/>
  <c r="I257" i="1"/>
  <c r="J257" i="1"/>
  <c r="H258" i="1"/>
  <c r="I258" i="1"/>
  <c r="J258" i="1"/>
  <c r="H259" i="1"/>
  <c r="I259" i="1"/>
  <c r="J259" i="1"/>
  <c r="H260" i="1"/>
  <c r="I260" i="1"/>
  <c r="J260" i="1"/>
  <c r="H261" i="1"/>
  <c r="I261" i="1"/>
  <c r="J261" i="1"/>
  <c r="H262" i="1"/>
  <c r="I262" i="1"/>
  <c r="J262" i="1"/>
  <c r="H263" i="1"/>
  <c r="I263" i="1"/>
  <c r="J263" i="1"/>
  <c r="H264" i="1"/>
  <c r="I264" i="1"/>
  <c r="J264" i="1"/>
  <c r="H265" i="1"/>
  <c r="I265" i="1"/>
  <c r="J265" i="1"/>
  <c r="H266" i="1"/>
  <c r="I266" i="1"/>
  <c r="J266" i="1"/>
  <c r="H267" i="1"/>
  <c r="I267" i="1"/>
  <c r="J267" i="1"/>
  <c r="H268" i="1"/>
  <c r="I268" i="1"/>
  <c r="J268" i="1"/>
  <c r="H269" i="1"/>
  <c r="I269" i="1"/>
  <c r="J269" i="1"/>
  <c r="H270" i="1"/>
  <c r="I270" i="1"/>
  <c r="J270" i="1"/>
  <c r="H271" i="1"/>
  <c r="I271" i="1"/>
  <c r="J271" i="1"/>
  <c r="H272" i="1"/>
  <c r="I272" i="1"/>
  <c r="J272" i="1"/>
  <c r="H273" i="1"/>
  <c r="I273" i="1"/>
  <c r="J273" i="1"/>
  <c r="H274" i="1"/>
  <c r="I274" i="1"/>
  <c r="J274" i="1"/>
  <c r="H275" i="1"/>
  <c r="I275" i="1"/>
  <c r="J275" i="1"/>
  <c r="H277" i="1"/>
  <c r="I277" i="1"/>
  <c r="J277" i="1"/>
  <c r="H278" i="1"/>
  <c r="I278" i="1"/>
  <c r="J278" i="1"/>
  <c r="H279" i="1"/>
  <c r="I279" i="1"/>
  <c r="J279" i="1"/>
  <c r="H280" i="1"/>
  <c r="I280" i="1"/>
  <c r="J280" i="1"/>
  <c r="H281" i="1"/>
  <c r="I281" i="1"/>
  <c r="J281" i="1"/>
  <c r="H282" i="1"/>
  <c r="I282" i="1"/>
  <c r="J282" i="1"/>
  <c r="H283" i="1"/>
  <c r="I283" i="1"/>
  <c r="J283" i="1"/>
  <c r="H284" i="1"/>
  <c r="I284" i="1"/>
  <c r="J284" i="1"/>
  <c r="H285" i="1"/>
  <c r="I285" i="1"/>
  <c r="J285" i="1"/>
  <c r="H286" i="1"/>
  <c r="I286" i="1"/>
  <c r="J286" i="1"/>
  <c r="H287" i="1"/>
  <c r="I287" i="1"/>
  <c r="J287" i="1"/>
  <c r="H288" i="1"/>
  <c r="I288" i="1"/>
  <c r="J288" i="1"/>
  <c r="H289" i="1"/>
  <c r="I289" i="1"/>
  <c r="J289" i="1"/>
  <c r="H290" i="1"/>
  <c r="I290" i="1"/>
  <c r="J290" i="1"/>
  <c r="H291" i="1"/>
  <c r="I291" i="1"/>
  <c r="J291" i="1"/>
  <c r="H292" i="1"/>
  <c r="I292" i="1"/>
  <c r="J292" i="1"/>
  <c r="H293" i="1"/>
  <c r="I293" i="1"/>
  <c r="J293" i="1"/>
  <c r="H294" i="1"/>
  <c r="I294" i="1"/>
  <c r="J294" i="1"/>
  <c r="H295" i="1"/>
  <c r="I295" i="1"/>
  <c r="J295" i="1"/>
  <c r="H296" i="1"/>
  <c r="I296" i="1"/>
  <c r="J296" i="1"/>
  <c r="H297" i="1"/>
  <c r="I297" i="1"/>
  <c r="J297" i="1"/>
  <c r="H298" i="1"/>
  <c r="I298" i="1"/>
  <c r="J298" i="1"/>
  <c r="H299" i="1"/>
  <c r="I299" i="1"/>
  <c r="J299" i="1"/>
  <c r="H300" i="1"/>
  <c r="I300" i="1"/>
  <c r="J300" i="1"/>
  <c r="H301" i="1"/>
  <c r="I301" i="1"/>
  <c r="J301" i="1"/>
  <c r="H302" i="1"/>
  <c r="I302" i="1"/>
  <c r="J302" i="1"/>
  <c r="H303" i="1"/>
  <c r="I303" i="1"/>
  <c r="J303" i="1"/>
  <c r="H304" i="1"/>
  <c r="I304" i="1"/>
  <c r="J304" i="1"/>
  <c r="H305" i="1"/>
  <c r="I305" i="1"/>
  <c r="J305" i="1"/>
  <c r="H306" i="1"/>
  <c r="I306" i="1"/>
  <c r="J306" i="1"/>
  <c r="H307" i="1"/>
  <c r="I307" i="1"/>
  <c r="J307" i="1"/>
  <c r="H308" i="1"/>
  <c r="I308" i="1"/>
  <c r="J308" i="1"/>
  <c r="H309" i="1"/>
  <c r="I309" i="1"/>
  <c r="J309" i="1"/>
  <c r="H310" i="1"/>
  <c r="I310" i="1"/>
  <c r="J310" i="1"/>
  <c r="H311" i="1"/>
  <c r="I311" i="1"/>
  <c r="J311" i="1"/>
  <c r="H312" i="1"/>
  <c r="I312" i="1"/>
  <c r="J312" i="1"/>
  <c r="H313" i="1"/>
  <c r="I313" i="1"/>
  <c r="J313" i="1"/>
  <c r="H314" i="1"/>
  <c r="I314" i="1"/>
  <c r="J314" i="1"/>
  <c r="H315" i="1"/>
  <c r="I315" i="1"/>
  <c r="J315" i="1"/>
  <c r="H316" i="1"/>
  <c r="I316" i="1"/>
  <c r="J316" i="1"/>
  <c r="H317" i="1"/>
  <c r="I317" i="1"/>
  <c r="J317" i="1"/>
  <c r="H318" i="1"/>
  <c r="I318" i="1"/>
  <c r="J318" i="1"/>
  <c r="H319" i="1"/>
  <c r="I319" i="1"/>
  <c r="J319" i="1"/>
  <c r="H320" i="1"/>
  <c r="I320" i="1"/>
  <c r="J320" i="1"/>
  <c r="H321" i="1"/>
  <c r="I321" i="1"/>
  <c r="J321" i="1"/>
  <c r="H322" i="1"/>
  <c r="I322" i="1"/>
  <c r="J322" i="1"/>
  <c r="H323" i="1"/>
  <c r="I323" i="1"/>
  <c r="J323" i="1"/>
  <c r="H324" i="1"/>
  <c r="I324" i="1"/>
  <c r="J324" i="1"/>
  <c r="H325" i="1"/>
  <c r="I325" i="1"/>
  <c r="J325" i="1"/>
  <c r="H326" i="1"/>
  <c r="I326" i="1"/>
  <c r="J326" i="1"/>
  <c r="H327" i="1"/>
  <c r="I327" i="1"/>
  <c r="J327" i="1"/>
  <c r="H328" i="1"/>
  <c r="I328" i="1"/>
  <c r="J328" i="1"/>
  <c r="H329" i="1"/>
  <c r="I329" i="1"/>
  <c r="J329" i="1"/>
  <c r="H330" i="1"/>
  <c r="I330" i="1"/>
  <c r="J330" i="1"/>
  <c r="H331" i="1"/>
  <c r="I331" i="1"/>
  <c r="J331" i="1"/>
  <c r="H332" i="1"/>
  <c r="I332" i="1"/>
  <c r="J332" i="1"/>
  <c r="H334" i="1"/>
  <c r="I334" i="1"/>
  <c r="J334" i="1"/>
  <c r="H335" i="1"/>
  <c r="I335" i="1"/>
  <c r="J335" i="1"/>
  <c r="H336" i="1"/>
  <c r="I336" i="1"/>
  <c r="J336" i="1"/>
  <c r="H337" i="1"/>
  <c r="I337" i="1"/>
  <c r="J337" i="1"/>
  <c r="H338" i="1"/>
  <c r="I338" i="1"/>
  <c r="J338" i="1"/>
  <c r="H339" i="1"/>
  <c r="I339" i="1"/>
  <c r="J339" i="1"/>
  <c r="H340" i="1"/>
  <c r="I340" i="1"/>
  <c r="J340" i="1"/>
  <c r="H341" i="1"/>
  <c r="I341" i="1"/>
  <c r="J341" i="1"/>
  <c r="H342" i="1"/>
  <c r="I342" i="1"/>
  <c r="J342" i="1"/>
  <c r="H343" i="1"/>
  <c r="I343" i="1"/>
  <c r="J343" i="1"/>
  <c r="H344" i="1"/>
  <c r="I344" i="1"/>
  <c r="J344" i="1"/>
  <c r="H345" i="1"/>
  <c r="I345" i="1"/>
  <c r="J345" i="1"/>
  <c r="N8" i="4"/>
  <c r="M8" i="4"/>
  <c r="O8" i="4"/>
  <c r="D6" i="4" l="1"/>
  <c r="D5" i="4"/>
  <c r="AB5" i="4"/>
</calcChain>
</file>

<file path=xl/sharedStrings.xml><?xml version="1.0" encoding="utf-8"?>
<sst xmlns="http://schemas.openxmlformats.org/spreadsheetml/2006/main" count="1515" uniqueCount="137">
  <si>
    <t>Date</t>
  </si>
  <si>
    <t>Description</t>
  </si>
  <si>
    <t>Debit</t>
  </si>
  <si>
    <t>Credit</t>
  </si>
  <si>
    <t>Sub-category</t>
  </si>
  <si>
    <t>Category</t>
  </si>
  <si>
    <t>Category Type</t>
  </si>
  <si>
    <t>Data With Decision</t>
  </si>
  <si>
    <t>Salary</t>
  </si>
  <si>
    <t>Income</t>
  </si>
  <si>
    <t>Drink</t>
  </si>
  <si>
    <t>Coffee</t>
  </si>
  <si>
    <t>Dining Out</t>
  </si>
  <si>
    <t>Expense</t>
  </si>
  <si>
    <t>Living Expenses</t>
  </si>
  <si>
    <t>Transport</t>
  </si>
  <si>
    <t>Groceries</t>
  </si>
  <si>
    <t>Power source</t>
  </si>
  <si>
    <t>Gas/Electrics</t>
  </si>
  <si>
    <t>Fuel</t>
  </si>
  <si>
    <t>Cinemas</t>
  </si>
  <si>
    <t>Entertainment</t>
  </si>
  <si>
    <t>Discretionary</t>
  </si>
  <si>
    <t>Fashionistas</t>
  </si>
  <si>
    <t>Clothes</t>
  </si>
  <si>
    <t>Burger</t>
  </si>
  <si>
    <t>Restaurant</t>
  </si>
  <si>
    <t>Taxi</t>
  </si>
  <si>
    <t>Passive</t>
  </si>
  <si>
    <t>Phone</t>
  </si>
  <si>
    <t>Gifts</t>
  </si>
  <si>
    <t>Online streaming</t>
  </si>
  <si>
    <t>Orphanage</t>
  </si>
  <si>
    <t>Donation</t>
  </si>
  <si>
    <t>Charity</t>
  </si>
  <si>
    <t>Fueling</t>
  </si>
  <si>
    <t>Hangingout/Ticket</t>
  </si>
  <si>
    <t>Taken medication</t>
  </si>
  <si>
    <t>Doctor</t>
  </si>
  <si>
    <t>Medical</t>
  </si>
  <si>
    <t>Foodary</t>
  </si>
  <si>
    <t>Clubing</t>
  </si>
  <si>
    <t>Home décor</t>
  </si>
  <si>
    <t>Furnishings</t>
  </si>
  <si>
    <t>Month Number</t>
  </si>
  <si>
    <t>Weekday</t>
  </si>
  <si>
    <t>Amount</t>
  </si>
  <si>
    <t>Emcee</t>
  </si>
  <si>
    <t>Uber</t>
  </si>
  <si>
    <t>Painting</t>
  </si>
  <si>
    <t>Birthday</t>
  </si>
  <si>
    <t>White soup</t>
  </si>
  <si>
    <t>Burrito</t>
  </si>
  <si>
    <t>Big Basket</t>
  </si>
  <si>
    <t>H&amp;M</t>
  </si>
  <si>
    <t>Hanging out/Ticket</t>
  </si>
  <si>
    <t>MAX</t>
  </si>
  <si>
    <t>Transcribe</t>
  </si>
  <si>
    <t>Udemy</t>
  </si>
  <si>
    <t>Maggi</t>
  </si>
  <si>
    <t>Sandwhich</t>
  </si>
  <si>
    <t>Old Age Home</t>
  </si>
  <si>
    <t>Myntra</t>
  </si>
  <si>
    <t>Amazon</t>
  </si>
  <si>
    <t>Tutoring</t>
  </si>
  <si>
    <t>Ajio</t>
  </si>
  <si>
    <t>Starbucks</t>
  </si>
  <si>
    <t>McD</t>
  </si>
  <si>
    <t>Decathalon</t>
  </si>
  <si>
    <t>West Side</t>
  </si>
  <si>
    <t>The Food Factory</t>
  </si>
  <si>
    <t>Kindle</t>
  </si>
  <si>
    <t>Subscription</t>
  </si>
  <si>
    <t>Online learning</t>
  </si>
  <si>
    <t>Taco</t>
  </si>
  <si>
    <t>Fritters</t>
  </si>
  <si>
    <t>Hot chocolate</t>
  </si>
  <si>
    <t>Centerpoint</t>
  </si>
  <si>
    <t>Thomson Casa</t>
  </si>
  <si>
    <t>Redtag</t>
  </si>
  <si>
    <t>Spring Roll</t>
  </si>
  <si>
    <t>Soup</t>
  </si>
  <si>
    <t>Roasttown</t>
  </si>
  <si>
    <t>Dunkin Donuts</t>
  </si>
  <si>
    <t>Splash</t>
  </si>
  <si>
    <t>Tim Hortons</t>
  </si>
  <si>
    <t>The Pavilion</t>
  </si>
  <si>
    <t>The Steak Company</t>
  </si>
  <si>
    <t>Min</t>
  </si>
  <si>
    <t>Max</t>
  </si>
  <si>
    <t>Personal Development</t>
  </si>
  <si>
    <t>Grand Total</t>
  </si>
  <si>
    <t>Sum of Amount</t>
  </si>
  <si>
    <t>Sum of Debit</t>
  </si>
  <si>
    <t>Cash inflow, Cash out-flow and Balance</t>
  </si>
  <si>
    <t>Top 5 expenses out-flow</t>
  </si>
  <si>
    <t>Expenses by categories</t>
  </si>
  <si>
    <t>Sum of Credit</t>
  </si>
  <si>
    <t>Sources of income</t>
  </si>
  <si>
    <t>Weekly Analysis</t>
  </si>
  <si>
    <t>Column Labels</t>
  </si>
  <si>
    <t>Sun</t>
  </si>
  <si>
    <t>Mon</t>
  </si>
  <si>
    <t>Tue</t>
  </si>
  <si>
    <t>Wed</t>
  </si>
  <si>
    <t>Thu</t>
  </si>
  <si>
    <t>Fri</t>
  </si>
  <si>
    <t>Sat</t>
  </si>
  <si>
    <t>KPI on cards</t>
  </si>
  <si>
    <t>Jan</t>
  </si>
  <si>
    <t>Feb</t>
  </si>
  <si>
    <t>Mar</t>
  </si>
  <si>
    <t>Apr</t>
  </si>
  <si>
    <t>May</t>
  </si>
  <si>
    <t>Jun</t>
  </si>
  <si>
    <t>Jul</t>
  </si>
  <si>
    <t>January</t>
  </si>
  <si>
    <t>February</t>
  </si>
  <si>
    <t>March</t>
  </si>
  <si>
    <t>April</t>
  </si>
  <si>
    <t>June</t>
  </si>
  <si>
    <t>July</t>
  </si>
  <si>
    <t>August</t>
  </si>
  <si>
    <t>September</t>
  </si>
  <si>
    <t>October</t>
  </si>
  <si>
    <t>November</t>
  </si>
  <si>
    <t>December</t>
  </si>
  <si>
    <t>Selected month</t>
  </si>
  <si>
    <t>Taken Medication</t>
  </si>
  <si>
    <t>Pharmacy</t>
  </si>
  <si>
    <t>Caption</t>
  </si>
  <si>
    <t>Grand total</t>
  </si>
  <si>
    <t>Displays the selected month in the Months filter</t>
  </si>
  <si>
    <t>Expenses - Creates the switchable table from debit to amount depending on the number in the yellow box</t>
  </si>
  <si>
    <t>Data for chart</t>
  </si>
  <si>
    <t>Used the min and max function,</t>
  </si>
  <si>
    <t>to pull the first and last expenses date respectively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</si>
</sst>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14009]dd\ mmmm\ yyyy;@"/>
    <numFmt numFmtId="165" formatCode="ddd"/>
    <numFmt numFmtId="166" formatCode="&quot;₹&quot;\ #,##0"/>
  </numFmts>
  <fonts count="4" x14ac:knownFonts="1">
    <font>
      <sz val="11"/>
      <color theme="1"/>
      <name val="Calibri"/>
      <family val="2"/>
      <scheme val="minor"/>
    </font>
    <font>
      <sz val="8"/>
      <color rgb="FF000000"/>
      <name val="Segoe UI"/>
      <family val="2"/>
    </font>
    <font>
      <sz val="8"/>
      <name val="Calibri"/>
      <family val="2"/>
      <scheme val="minor"/>
    </font>
    <font>
      <sz val="11"/>
      <color theme="1"/>
      <name val="Bahnschrift Condensed"/>
      <family val="2"/>
    </font>
  </fonts>
  <fills count="7">
    <fill>
      <patternFill patternType="none"/>
    </fill>
    <fill>
      <patternFill patternType="gray125"/>
    </fill>
    <fill>
      <patternFill patternType="solid">
        <fgColor theme="0" tint="-0.499984740745262"/>
        <bgColor indexed="64"/>
      </patternFill>
    </fill>
    <fill>
      <patternFill patternType="solid">
        <fgColor rgb="FF1D1D1D"/>
        <bgColor indexed="64"/>
      </patternFill>
    </fill>
    <fill>
      <patternFill patternType="solid">
        <fgColor theme="8" tint="-0.499984740745262"/>
        <bgColor indexed="64"/>
      </patternFill>
    </fill>
    <fill>
      <patternFill patternType="solid">
        <fgColor theme="0" tint="-0.14999847407452621"/>
        <bgColor indexed="64"/>
      </patternFill>
    </fill>
    <fill>
      <patternFill patternType="solid">
        <fgColor theme="0" tint="-0.14999847407452621"/>
        <bgColor theme="4" tint="0.79998168889431442"/>
      </patternFill>
    </fill>
  </fills>
  <borders count="4">
    <border>
      <left/>
      <right/>
      <top/>
      <bottom/>
      <diagonal/>
    </border>
    <border>
      <left/>
      <right/>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2">
    <xf numFmtId="0" fontId="0" fillId="0" borderId="0" xfId="0"/>
    <xf numFmtId="164" fontId="0" fillId="0" borderId="0" xfId="0" applyNumberFormat="1"/>
    <xf numFmtId="165" fontId="0" fillId="0" borderId="0" xfId="0" applyNumberFormat="1"/>
    <xf numFmtId="0" fontId="0" fillId="2" borderId="0" xfId="0" applyFill="1"/>
    <xf numFmtId="0" fontId="0" fillId="3" borderId="0" xfId="0" applyFill="1"/>
    <xf numFmtId="0" fontId="0" fillId="4" borderId="0" xfId="0" applyFill="1" applyBorder="1"/>
    <xf numFmtId="0" fontId="0" fillId="2" borderId="0" xfId="0" applyFill="1" applyBorder="1"/>
    <xf numFmtId="14" fontId="3" fillId="5" borderId="0" xfId="0" applyNumberFormat="1" applyFont="1" applyFill="1"/>
    <xf numFmtId="0" fontId="3" fillId="5" borderId="0" xfId="0" applyFont="1" applyFill="1"/>
    <xf numFmtId="0" fontId="3" fillId="5" borderId="3" xfId="0" applyFont="1" applyFill="1" applyBorder="1"/>
    <xf numFmtId="14" fontId="3" fillId="5" borderId="3" xfId="0" applyNumberFormat="1" applyFont="1" applyFill="1" applyBorder="1"/>
    <xf numFmtId="0" fontId="3" fillId="5" borderId="3" xfId="0" applyFont="1" applyFill="1" applyBorder="1" applyAlignment="1">
      <alignment horizontal="left"/>
    </xf>
    <xf numFmtId="166" fontId="3" fillId="5" borderId="3" xfId="0" applyNumberFormat="1" applyFont="1" applyFill="1" applyBorder="1"/>
    <xf numFmtId="0" fontId="3" fillId="5" borderId="0" xfId="0" applyFont="1" applyFill="1" applyAlignment="1">
      <alignment horizontal="left"/>
    </xf>
    <xf numFmtId="166" fontId="3" fillId="5" borderId="0" xfId="0" applyNumberFormat="1" applyFont="1" applyFill="1"/>
    <xf numFmtId="0" fontId="3" fillId="6" borderId="3" xfId="0" applyFont="1" applyFill="1" applyBorder="1"/>
    <xf numFmtId="0" fontId="3" fillId="6" borderId="1" xfId="0" applyFont="1" applyFill="1" applyBorder="1"/>
    <xf numFmtId="0" fontId="3" fillId="6" borderId="2" xfId="0" applyFont="1" applyFill="1" applyBorder="1" applyAlignment="1">
      <alignment horizontal="left"/>
    </xf>
    <xf numFmtId="166" fontId="3" fillId="6" borderId="2" xfId="0" applyNumberFormat="1" applyFont="1" applyFill="1" applyBorder="1"/>
    <xf numFmtId="0" fontId="3" fillId="5" borderId="1" xfId="0" applyFont="1" applyFill="1" applyBorder="1"/>
    <xf numFmtId="0" fontId="3" fillId="5" borderId="2" xfId="0" applyFont="1" applyFill="1" applyBorder="1" applyAlignment="1">
      <alignment horizontal="left"/>
    </xf>
    <xf numFmtId="166" fontId="3" fillId="5" borderId="2" xfId="0" applyNumberFormat="1" applyFont="1" applyFill="1" applyBorder="1"/>
  </cellXfs>
  <cellStyles count="1">
    <cellStyle name="Normal" xfId="0" builtinId="0"/>
  </cellStyles>
  <dxfs count="697">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1"/>
        </patternFill>
      </fill>
    </dxf>
    <dxf>
      <fill>
        <patternFill>
          <bgColor theme="1"/>
        </patternFill>
      </fill>
    </dxf>
    <dxf>
      <fill>
        <patternFill>
          <bgColor theme="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1"/>
        </patternFill>
      </fill>
    </dxf>
    <dxf>
      <fill>
        <patternFill>
          <bgColor theme="1"/>
        </patternFill>
      </fill>
    </dxf>
    <dxf>
      <fill>
        <patternFill>
          <bgColor theme="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0" tint="-0.149998474074526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val="0"/>
      </font>
    </dxf>
    <dxf>
      <font>
        <b val="0"/>
      </font>
    </dxf>
    <dxf>
      <font>
        <b val="0"/>
      </font>
    </dxf>
    <dxf>
      <font>
        <b val="0"/>
      </font>
    </dxf>
    <dxf>
      <font>
        <b val="0"/>
      </font>
    </dxf>
    <dxf>
      <font>
        <b val="0"/>
      </font>
    </dxf>
    <dxf>
      <font>
        <b val="0"/>
      </font>
    </dxf>
    <dxf>
      <font>
        <b val="0"/>
      </font>
    </dxf>
    <dxf>
      <font>
        <b val="0"/>
      </font>
    </dxf>
    <dxf>
      <font>
        <b/>
      </font>
    </dxf>
    <dxf>
      <font>
        <b/>
      </font>
    </dxf>
    <dxf>
      <font>
        <b/>
      </font>
    </dxf>
    <dxf>
      <font>
        <b/>
      </font>
    </dxf>
    <dxf>
      <font>
        <b/>
      </font>
    </dxf>
    <dxf>
      <font>
        <b/>
      </font>
    </dxf>
    <dxf>
      <font>
        <b/>
      </font>
    </dxf>
    <dxf>
      <font>
        <b/>
      </font>
    </dxf>
    <dxf>
      <font>
        <b/>
      </font>
    </dxf>
    <dxf>
      <font>
        <b/>
      </font>
    </dxf>
    <dxf>
      <font>
        <b val="0"/>
      </font>
    </dxf>
    <dxf>
      <font>
        <b val="0"/>
      </font>
    </dxf>
    <dxf>
      <font>
        <b val="0"/>
      </font>
    </dxf>
    <dxf>
      <font>
        <b/>
      </font>
    </dxf>
    <dxf>
      <font>
        <b/>
      </font>
    </dxf>
    <dxf>
      <font>
        <b/>
      </font>
    </dxf>
    <dxf>
      <font>
        <b val="0"/>
      </font>
    </dxf>
    <dxf>
      <font>
        <b val="0"/>
      </font>
    </dxf>
    <dxf>
      <font>
        <b val="0"/>
      </font>
    </dxf>
    <dxf>
      <font>
        <b val="0"/>
      </font>
    </dxf>
    <dxf>
      <font>
        <b val="0"/>
      </font>
    </dxf>
    <dxf>
      <font>
        <b val="0"/>
      </font>
    </dxf>
    <dxf>
      <font>
        <b val="0"/>
      </font>
    </dxf>
    <dxf>
      <font>
        <b/>
      </font>
    </dxf>
    <dxf>
      <font>
        <b/>
      </font>
    </dxf>
    <dxf>
      <font>
        <b/>
      </font>
    </dxf>
    <dxf>
      <font>
        <b/>
      </font>
    </dxf>
    <dxf>
      <font>
        <b/>
      </font>
    </dxf>
    <dxf>
      <font>
        <b/>
      </font>
    </dxf>
    <dxf>
      <font>
        <b val="0"/>
      </font>
    </dxf>
    <dxf>
      <font>
        <b val="0"/>
      </font>
    </dxf>
    <dxf>
      <font>
        <b val="0"/>
      </font>
    </dxf>
    <dxf>
      <font>
        <b val="0"/>
      </font>
    </dxf>
    <dxf>
      <font>
        <b val="0"/>
      </font>
    </dxf>
    <dxf>
      <font>
        <b val="0"/>
      </font>
    </dxf>
    <dxf>
      <font>
        <b val="0"/>
      </font>
    </dxf>
    <dxf>
      <font>
        <b/>
      </font>
    </dxf>
    <dxf>
      <font>
        <b/>
      </font>
    </dxf>
    <dxf>
      <font>
        <b/>
      </font>
    </dxf>
    <dxf>
      <font>
        <b/>
      </font>
    </dxf>
    <dxf>
      <font>
        <b/>
      </font>
    </dxf>
    <dxf>
      <font>
        <b/>
      </font>
    </dxf>
    <dxf>
      <font>
        <b val="0"/>
      </font>
    </dxf>
    <dxf>
      <font>
        <b val="0"/>
      </font>
    </dxf>
    <dxf>
      <font>
        <b val="0"/>
      </font>
    </dxf>
    <dxf>
      <font>
        <b val="0"/>
      </font>
    </dxf>
    <dxf>
      <font>
        <b val="0"/>
      </font>
    </dxf>
    <dxf>
      <font>
        <b val="0"/>
      </font>
    </dxf>
    <dxf>
      <font>
        <b val="0"/>
      </font>
    </dxf>
    <dxf>
      <font>
        <b/>
      </font>
    </dxf>
    <dxf>
      <font>
        <b/>
      </font>
    </dxf>
    <dxf>
      <font>
        <b/>
      </font>
    </dxf>
    <dxf>
      <font>
        <b/>
      </font>
    </dxf>
    <dxf>
      <font>
        <b/>
      </font>
    </dxf>
    <dxf>
      <font>
        <b/>
      </font>
    </dxf>
    <dxf>
      <font>
        <b val="0"/>
      </font>
    </dxf>
    <dxf>
      <font>
        <b val="0"/>
      </font>
    </dxf>
    <dxf>
      <font>
        <b val="0"/>
      </font>
    </dxf>
    <dxf>
      <font>
        <b/>
      </font>
    </dxf>
    <dxf>
      <font>
        <b/>
      </font>
    </dxf>
    <dxf>
      <font>
        <b/>
      </font>
    </dxf>
    <dxf>
      <font>
        <b val="0"/>
      </font>
    </dxf>
    <dxf>
      <font>
        <b val="0"/>
      </font>
    </dxf>
    <dxf>
      <font>
        <b val="0"/>
      </font>
    </dxf>
    <dxf>
      <font>
        <b val="0"/>
      </font>
    </dxf>
    <dxf>
      <font>
        <b val="0"/>
      </font>
    </dxf>
    <dxf>
      <font>
        <b val="0"/>
      </font>
    </dxf>
    <dxf>
      <font>
        <b val="0"/>
      </font>
    </dxf>
    <dxf>
      <font>
        <b/>
      </font>
    </dxf>
    <dxf>
      <font>
        <b/>
      </font>
    </dxf>
    <dxf>
      <font>
        <b/>
      </font>
    </dxf>
    <dxf>
      <font>
        <b/>
      </font>
    </dxf>
    <dxf>
      <font>
        <b/>
      </font>
    </dxf>
    <dxf>
      <font>
        <b/>
      </font>
    </dxf>
    <dxf>
      <font>
        <b val="0"/>
      </font>
    </dxf>
    <dxf>
      <font>
        <b val="0"/>
      </font>
    </dxf>
    <dxf>
      <font>
        <b val="0"/>
      </font>
    </dxf>
    <dxf>
      <font>
        <b val="0"/>
      </font>
    </dxf>
    <dxf>
      <font>
        <b val="0"/>
      </font>
    </dxf>
    <dxf>
      <font>
        <b val="0"/>
      </font>
    </dxf>
    <dxf>
      <font>
        <b val="0"/>
      </font>
    </dxf>
    <dxf>
      <font>
        <b/>
      </font>
    </dxf>
    <dxf>
      <font>
        <b/>
      </font>
    </dxf>
    <dxf>
      <font>
        <b/>
      </font>
    </dxf>
    <dxf>
      <font>
        <b/>
      </font>
    </dxf>
    <dxf>
      <font>
        <b/>
      </font>
    </dxf>
    <dxf>
      <font>
        <b/>
      </font>
    </dxf>
    <dxf>
      <font>
        <b val="0"/>
      </font>
    </dxf>
    <dxf>
      <font>
        <b val="0"/>
      </font>
    </dxf>
    <dxf>
      <font>
        <b val="0"/>
      </font>
    </dxf>
    <dxf>
      <font>
        <b val="0"/>
      </font>
    </dxf>
    <dxf>
      <font>
        <b val="0"/>
      </font>
    </dxf>
    <dxf>
      <font>
        <b val="0"/>
      </font>
    </dxf>
    <dxf>
      <font>
        <b val="0"/>
      </font>
    </dxf>
    <dxf>
      <font>
        <b/>
      </font>
    </dxf>
    <dxf>
      <font>
        <b/>
      </font>
    </dxf>
    <dxf>
      <font>
        <b/>
      </font>
    </dxf>
    <dxf>
      <font>
        <b/>
      </font>
    </dxf>
    <dxf>
      <font>
        <b/>
      </font>
    </dxf>
    <dxf>
      <font>
        <b/>
      </font>
    </dxf>
    <dxf>
      <font>
        <b val="0"/>
      </font>
    </dxf>
    <dxf>
      <font>
        <b/>
      </font>
    </dxf>
    <dxf>
      <font>
        <b/>
      </font>
    </dxf>
    <dxf>
      <font>
        <b/>
      </font>
    </dxf>
    <dxf>
      <font>
        <b/>
      </font>
    </dxf>
    <dxf>
      <font>
        <b/>
      </font>
    </dxf>
    <dxf>
      <font>
        <b/>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ont>
        <name val="Bahnschrift Condensed"/>
        <scheme val="none"/>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FFF00"/>
        </patternFill>
      </fill>
    </dxf>
    <dxf>
      <fill>
        <patternFill>
          <bgColor rgb="FFFFFF00"/>
        </patternFill>
      </fill>
    </dxf>
    <dxf>
      <fill>
        <patternFill>
          <bgColor rgb="FFFFFF0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FFF00"/>
        </patternFill>
      </fill>
    </dxf>
    <dxf>
      <fill>
        <patternFill>
          <bgColor rgb="FFFFFF00"/>
        </patternFill>
      </fill>
    </dxf>
    <dxf>
      <fill>
        <patternFill>
          <bgColor rgb="FFFFFF0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FFF00"/>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7999816888943144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7999816888943144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7999816888943144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7999816888943144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7999816888943144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7999816888943144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fill>
        <patternFill>
          <bgColor theme="8" tint="-0.499984740745262"/>
        </patternFill>
      </fill>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numFmt numFmtId="0" formatCode="General"/>
    </dxf>
    <dxf>
      <numFmt numFmtId="165" formatCode="ddd"/>
    </dxf>
    <dxf>
      <numFmt numFmtId="0" formatCode="General"/>
    </dxf>
    <dxf>
      <numFmt numFmtId="164" formatCode="[$-14009]dd\ mmmm\ yyyy;@"/>
    </dxf>
    <dxf>
      <font>
        <color theme="1"/>
      </font>
    </dxf>
    <dxf>
      <font>
        <b/>
        <i val="0"/>
        <sz val="12"/>
        <color theme="1"/>
      </font>
      <fill>
        <patternFill>
          <bgColor rgb="FF2C2C2C"/>
        </patternFill>
      </fill>
      <border diagonalUp="0" diagonalDown="0">
        <left/>
        <right/>
        <top/>
        <bottom/>
        <vertical/>
        <horizontal/>
      </border>
    </dxf>
    <dxf>
      <font>
        <color theme="1"/>
      </font>
      <border diagonalUp="0" diagonalDown="0">
        <left/>
        <right/>
        <top/>
        <bottom/>
        <vertical/>
        <horizontal/>
      </border>
    </dxf>
    <dxf>
      <font>
        <color theme="1"/>
      </font>
      <fill>
        <patternFill>
          <bgColor rgb="FF2C2C2C"/>
        </patternFill>
      </fill>
      <border diagonalUp="0" diagonalDown="0">
        <left/>
        <right/>
        <top/>
        <bottom/>
        <vertical/>
        <horizontal/>
      </border>
    </dxf>
  </dxfs>
  <tableStyles count="4" defaultTableStyle="TableStyleMedium2" defaultPivotStyle="PivotStyleLight16">
    <tableStyle name="Category" pivot="0" table="0" count="10" xr9:uid="{758E32E6-5EF0-486B-9640-9E9CA558A1B1}">
      <tableStyleElement type="wholeTable" dxfId="696"/>
      <tableStyleElement type="headerRow" dxfId="695"/>
    </tableStyle>
    <tableStyle name="Dark" pivot="0" table="0" count="10" xr9:uid="{C4A68EC7-F33B-4CD6-9989-46301C7B81EE}">
      <tableStyleElement type="wholeTable" dxfId="694"/>
      <tableStyleElement type="headerRow" dxfId="693"/>
    </tableStyle>
    <tableStyle name="Dark 2" pivot="0" table="0" count="0" xr9:uid="{44AD36F7-9FC3-46CC-90E1-7B7D82544E80}"/>
    <tableStyle name="Slicer Style 1 2 2" pivot="0" table="0" count="1" xr9:uid="{344655E0-4C7C-4B7E-8604-67021DAB209B}"/>
  </tableStyles>
  <colors>
    <mruColors>
      <color rgb="FF2C2C2C"/>
      <color rgb="FF4A61EE"/>
      <color rgb="FFFFD058"/>
      <color rgb="FFFF7979"/>
      <color rgb="FF5C38FF"/>
      <color rgb="FFFF5858"/>
      <color rgb="FF1D1D1D"/>
    </mruColors>
  </colors>
  <extLst>
    <ext xmlns:x14="http://schemas.microsoft.com/office/spreadsheetml/2009/9/main" uri="{46F421CA-312F-682f-3DD2-61675219B42D}">
      <x14:dxfs count="17">
        <dxf>
          <font>
            <color theme="0"/>
          </font>
        </dxf>
        <dxf>
          <font>
            <sz val="14"/>
            <color theme="1"/>
          </font>
          <border diagonalUp="0" diagonalDown="0">
            <left/>
            <right/>
            <top/>
            <bottom/>
            <vertical/>
            <horizontal/>
          </border>
        </dxf>
        <dxf>
          <font>
            <sz val="14"/>
            <color theme="1"/>
          </font>
        </dxf>
        <dxf>
          <font>
            <b/>
            <i val="0"/>
            <sz val="14"/>
            <color rgb="FFFFD058"/>
          </font>
          <fill>
            <patternFill>
              <bgColor rgb="FF2C2C2C"/>
            </patternFill>
          </fill>
          <border diagonalUp="0" diagonalDown="0">
            <left/>
            <right/>
            <top/>
            <bottom/>
            <vertical/>
            <horizontal/>
          </border>
        </dxf>
        <dxf>
          <font>
            <sz val="14"/>
            <color rgb="FF4A61EE"/>
          </font>
          <fill>
            <patternFill>
              <bgColor rgb="FF2C2C2C"/>
            </patternFill>
          </fill>
          <border diagonalUp="0" diagonalDown="0">
            <left/>
            <right/>
            <top/>
            <bottom/>
            <vertical/>
            <horizontal/>
          </border>
        </dxf>
        <dxf>
          <font>
            <sz val="14"/>
            <color theme="0"/>
          </font>
          <border diagonalUp="0" diagonalDown="0">
            <left/>
            <right/>
            <top/>
            <bottom/>
            <vertical/>
            <horizontal/>
          </border>
        </dxf>
        <dxf>
          <font>
            <b/>
            <i val="0"/>
            <sz val="12"/>
            <color rgb="FFFF7979"/>
          </font>
          <fill>
            <patternFill>
              <bgColor rgb="FF2C2C2C"/>
            </patternFill>
          </fill>
        </dxf>
        <dxf>
          <font>
            <sz val="12"/>
            <color theme="0"/>
          </font>
        </dxf>
        <dxf>
          <font>
            <b/>
            <i val="0"/>
            <sz val="12"/>
            <color theme="0"/>
          </font>
          <fill>
            <patternFill>
              <bgColor rgb="FF2C2C2C"/>
            </patternFill>
          </fill>
          <border diagonalUp="0" diagonalDown="0">
            <left/>
            <right/>
            <top/>
            <bottom/>
            <vertical/>
            <horizontal/>
          </border>
        </dxf>
        <dxf>
          <font>
            <color theme="1"/>
          </font>
          <border diagonalUp="0" diagonalDown="0">
            <left/>
            <right/>
            <top/>
            <bottom/>
            <vertical/>
            <horizontal/>
          </border>
        </dxf>
        <dxf>
          <font>
            <color theme="1"/>
          </font>
        </dxf>
        <dxf>
          <font>
            <b/>
            <i val="0"/>
            <sz val="12"/>
            <color rgb="FFFFD058"/>
          </font>
          <fill>
            <patternFill>
              <bgColor rgb="FF2C2C2C"/>
            </patternFill>
          </fill>
          <border diagonalUp="0" diagonalDown="0">
            <left/>
            <right/>
            <top/>
            <bottom/>
            <vertical/>
            <horizontal/>
          </border>
        </dxf>
        <dxf>
          <font>
            <color rgb="FF4A61EE"/>
          </font>
          <fill>
            <patternFill>
              <bgColor rgb="FF2C2C2C"/>
            </patternFill>
          </fill>
        </dxf>
        <dxf>
          <font>
            <color theme="0"/>
          </font>
          <border diagonalUp="0" diagonalDown="0">
            <left/>
            <right/>
            <top/>
            <bottom/>
            <vertical/>
            <horizontal/>
          </border>
        </dxf>
        <dxf>
          <font>
            <b/>
            <i val="0"/>
            <sz val="12"/>
            <color rgb="FFFF7979"/>
          </font>
          <fill>
            <patternFill>
              <bgColor rgb="FF2C2C2C"/>
            </patternFill>
          </fill>
          <border diagonalUp="0" diagonalDown="0">
            <left/>
            <right/>
            <top/>
            <bottom/>
            <vertical/>
            <horizontal/>
          </border>
        </dxf>
        <dxf>
          <font>
            <color theme="0"/>
          </font>
          <border diagonalUp="0" diagonalDown="0">
            <left/>
            <right/>
            <top/>
            <bottom/>
            <vertical/>
            <horizontal/>
          </border>
        </dxf>
        <dxf>
          <font>
            <b val="0"/>
            <i val="0"/>
            <color theme="0"/>
          </font>
          <fill>
            <patternFill>
              <bgColor rgb="FF2C2C2C"/>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Category">
          <x14:slicerStyleElements>
            <x14:slicerStyleElement type="unselectedItemWithData" dxfId="16"/>
            <x14:slicerStyleElement type="unselectedItemWithNoData" dxfId="15"/>
            <x14:slicerStyleElement type="selectedItemWithData" dxfId="14"/>
            <x14:slicerStyleElement type="selectedItemWithNoData" dxfId="13"/>
            <x14:slicerStyleElement type="hoveredUnselectedItemWithData" dxfId="12"/>
            <x14:slicerStyleElement type="hoveredSelectedItemWithData" dxfId="11"/>
            <x14:slicerStyleElement type="hoveredUnselectedItemWithNoData" dxfId="10"/>
            <x14:slicerStyleElement type="hoveredSelectedItemWithNoData" dxfId="9"/>
          </x14:slicerStyleElements>
        </x14:slicerStyle>
        <x14:slicerStyle name="Dark">
          <x14:slicerStyleElements>
            <x14:slicerStyleElement type="unselectedItemWithData" dxfId="8"/>
            <x14:slicerStyleElement type="unselectedItemWithNoData" dxfId="7"/>
            <x14:slicerStyleElement type="selectedItemWithData" dxfId="6"/>
            <x14:slicerStyleElement type="selectedItemWithNoData" dxfId="5"/>
            <x14:slicerStyleElement type="hoveredUnselectedItemWithData" dxfId="4"/>
            <x14:slicerStyleElement type="hoveredSelectedItemWithData" dxfId="3"/>
            <x14:slicerStyleElement type="hoveredUnselectedItemWithNoData" dxfId="2"/>
            <x14:slicerStyleElement type="hoveredSelectedItemWithNoData" dxfId="1"/>
          </x14:slicerStyleElements>
        </x14:slicerStyle>
        <x14:slicerStyle name="Dark 2"/>
        <x14:slicerStyle name="Slicer Style 1 2 2">
          <x14:slicerStyleElements>
            <x14:slicerStyleElement type="hoveredUn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17/10/relationships/person" Target="persons/perso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Analysis.xlsm]Analysis!PivotTable7</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879225543842109"/>
          <c:y val="8.0666628556448447E-2"/>
          <c:w val="0.36002202594017513"/>
          <c:h val="0.83866674288710308"/>
        </c:manualLayout>
      </c:layout>
      <c:barChart>
        <c:barDir val="bar"/>
        <c:grouping val="clustered"/>
        <c:varyColors val="0"/>
        <c:ser>
          <c:idx val="0"/>
          <c:order val="0"/>
          <c:tx>
            <c:strRef>
              <c:f>Analysis!$K$6</c:f>
              <c:strCache>
                <c:ptCount val="1"/>
                <c:pt idx="0">
                  <c:v>Total</c:v>
                </c:pt>
              </c:strCache>
            </c:strRef>
          </c:tx>
          <c:spPr>
            <a:solidFill>
              <a:schemeClr val="accent5">
                <a:lumMod val="50000"/>
              </a:schemeClr>
            </a:solidFill>
            <a:ln>
              <a:noFill/>
            </a:ln>
            <a:effectLst/>
          </c:spPr>
          <c:invertIfNegative val="0"/>
          <c:cat>
            <c:strRef>
              <c:f>Analysis!$J$7:$J$12</c:f>
              <c:strCache>
                <c:ptCount val="5"/>
                <c:pt idx="0">
                  <c:v>Groceries</c:v>
                </c:pt>
                <c:pt idx="1">
                  <c:v>Clothes</c:v>
                </c:pt>
                <c:pt idx="2">
                  <c:v>Entertainment</c:v>
                </c:pt>
                <c:pt idx="3">
                  <c:v>Kindle</c:v>
                </c:pt>
                <c:pt idx="4">
                  <c:v>Fueling</c:v>
                </c:pt>
              </c:strCache>
            </c:strRef>
          </c:cat>
          <c:val>
            <c:numRef>
              <c:f>Analysis!$K$7:$K$12</c:f>
              <c:numCache>
                <c:formatCode>"₹"\ #,##0</c:formatCode>
                <c:ptCount val="5"/>
                <c:pt idx="0">
                  <c:v>9819</c:v>
                </c:pt>
                <c:pt idx="1">
                  <c:v>2849.7000000000007</c:v>
                </c:pt>
                <c:pt idx="2">
                  <c:v>1197.3999999999999</c:v>
                </c:pt>
                <c:pt idx="3">
                  <c:v>1050</c:v>
                </c:pt>
                <c:pt idx="4">
                  <c:v>944.80000000000007</c:v>
                </c:pt>
              </c:numCache>
            </c:numRef>
          </c:val>
          <c:extLst>
            <c:ext xmlns:c16="http://schemas.microsoft.com/office/drawing/2014/chart" uri="{C3380CC4-5D6E-409C-BE32-E72D297353CC}">
              <c16:uniqueId val="{00000000-E3F4-400C-B527-AEC6838D7947}"/>
            </c:ext>
          </c:extLst>
        </c:ser>
        <c:dLbls>
          <c:showLegendKey val="0"/>
          <c:showVal val="0"/>
          <c:showCatName val="0"/>
          <c:showSerName val="0"/>
          <c:showPercent val="0"/>
          <c:showBubbleSize val="0"/>
        </c:dLbls>
        <c:gapWidth val="78"/>
        <c:axId val="761073119"/>
        <c:axId val="761087263"/>
      </c:barChart>
      <c:catAx>
        <c:axId val="761073119"/>
        <c:scaling>
          <c:orientation val="maxMin"/>
        </c:scaling>
        <c:delete val="0"/>
        <c:axPos val="l"/>
        <c:numFmt formatCode="General" sourceLinked="1"/>
        <c:majorTickMark val="none"/>
        <c:minorTickMark val="none"/>
        <c:tickLblPos val="high"/>
        <c:spPr>
          <a:noFill/>
          <a:ln w="25400" cap="flat" cmpd="sng" algn="ctr">
            <a:solidFill>
              <a:schemeClr val="accent3">
                <a:lumMod val="50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761087263"/>
        <c:crosses val="autoZero"/>
        <c:auto val="1"/>
        <c:lblAlgn val="ctr"/>
        <c:lblOffset val="100"/>
        <c:noMultiLvlLbl val="0"/>
      </c:catAx>
      <c:valAx>
        <c:axId val="761087263"/>
        <c:scaling>
          <c:orientation val="minMax"/>
        </c:scaling>
        <c:delete val="1"/>
        <c:axPos val="t"/>
        <c:numFmt formatCode="&quot;₹&quot;\ #,##0" sourceLinked="1"/>
        <c:majorTickMark val="none"/>
        <c:minorTickMark val="none"/>
        <c:tickLblPos val="nextTo"/>
        <c:crossAx val="761073119"/>
        <c:crosses val="autoZero"/>
        <c:crossBetween val="between"/>
      </c:valAx>
      <c:spPr>
        <a:solidFill>
          <a:sysClr val="window" lastClr="FFFFFF"/>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7979"/>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4A61EE"/>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4.7973370624130656E-3"/>
              <c:y val="-1.7843441317968558E-17"/>
            </c:manualLayout>
          </c:layout>
          <c:numFmt formatCode="&quot;₹&quot;\ #,##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9.5885238004159105E-3"/>
              <c:y val="-5.906406025513676E-17"/>
            </c:manualLayout>
          </c:layout>
          <c:numFmt formatCode="&quot;₹&quot;\ #,##0" sourceLinked="0"/>
          <c:spPr>
            <a:noFill/>
            <a:ln>
              <a:noFill/>
            </a:ln>
            <a:effectLst/>
          </c:spPr>
          <c:txPr>
            <a:bodyPr rot="0" spcFirstLastPara="1" vertOverflow="ellipsis" vert="horz" wrap="square" lIns="38100" tIns="19050" rIns="38100" bIns="19050" anchor="ctr" anchorCtr="0">
              <a:spAutoFit/>
            </a:bodyPr>
            <a:lstStyle/>
            <a:p>
              <a:pPr algn="ct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4755382675166829"/>
                  <c:h val="0.25525659296976511"/>
                </c:manualLayout>
              </c15:layout>
            </c:ext>
          </c:extLst>
        </c:dLbl>
      </c:pivotFmt>
      <c:pivotFmt>
        <c:idx val="11"/>
        <c:dLbl>
          <c:idx val="0"/>
          <c:layout>
            <c:manualLayout>
              <c:x val="-9.5885238004159538E-3"/>
              <c:y val="0"/>
            </c:manualLayout>
          </c:layout>
          <c:numFmt formatCode="&quot;₹&quot;\ #,##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770707686542753E-2"/>
          <c:y val="8.5649455233905172E-2"/>
          <c:w val="0.89445858462691452"/>
          <c:h val="0.82870108953218968"/>
        </c:manualLayout>
      </c:layout>
      <c:barChart>
        <c:barDir val="col"/>
        <c:grouping val="percentStacked"/>
        <c:varyColors val="0"/>
        <c:dLbls>
          <c:dLblPos val="ctr"/>
          <c:showLegendKey val="0"/>
          <c:showVal val="1"/>
          <c:showCatName val="0"/>
          <c:showSerName val="0"/>
          <c:showPercent val="0"/>
          <c:showBubbleSize val="0"/>
        </c:dLbls>
        <c:gapWidth val="150"/>
        <c:overlap val="100"/>
        <c:axId val="777625087"/>
        <c:axId val="777625503"/>
      </c:barChart>
      <c:catAx>
        <c:axId val="777625087"/>
        <c:scaling>
          <c:orientation val="minMax"/>
        </c:scaling>
        <c:delete val="1"/>
        <c:axPos val="b"/>
        <c:numFmt formatCode="General" sourceLinked="1"/>
        <c:majorTickMark val="none"/>
        <c:minorTickMark val="none"/>
        <c:tickLblPos val="nextTo"/>
        <c:crossAx val="777625503"/>
        <c:crosses val="autoZero"/>
        <c:auto val="1"/>
        <c:lblAlgn val="ctr"/>
        <c:lblOffset val="100"/>
        <c:noMultiLvlLbl val="0"/>
      </c:catAx>
      <c:valAx>
        <c:axId val="777625503"/>
        <c:scaling>
          <c:orientation val="minMax"/>
        </c:scaling>
        <c:delete val="1"/>
        <c:axPos val="l"/>
        <c:numFmt formatCode="0%" sourceLinked="1"/>
        <c:majorTickMark val="none"/>
        <c:minorTickMark val="none"/>
        <c:tickLblPos val="nextTo"/>
        <c:crossAx val="777625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Analysis.xlsm]Analysis!PivotTable9</c:name>
    <c:fmtId val="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7979"/>
          </a:solidFill>
          <a:ln w="50800">
            <a:solidFill>
              <a:srgbClr val="FF7979"/>
            </a:solidFill>
          </a:ln>
          <a:effectLst/>
        </c:spPr>
      </c:pivotFmt>
      <c:pivotFmt>
        <c:idx val="8"/>
        <c:spPr>
          <a:solidFill>
            <a:srgbClr val="FFD058"/>
          </a:solidFill>
          <a:ln w="101600">
            <a:solidFill>
              <a:srgbClr val="FFD058"/>
            </a:solidFill>
          </a:ln>
          <a:effectLst/>
        </c:spPr>
      </c:pivotFmt>
      <c:pivotFmt>
        <c:idx val="9"/>
        <c:spPr>
          <a:solidFill>
            <a:schemeClr val="accent1"/>
          </a:solidFill>
          <a:ln w="19050">
            <a:noFill/>
          </a:ln>
          <a:effectLst/>
        </c:spPr>
      </c:pivotFmt>
      <c:pivotFmt>
        <c:idx val="10"/>
        <c:spPr>
          <a:solidFill>
            <a:srgbClr val="4A61EE"/>
          </a:solidFill>
          <a:ln w="25400">
            <a:solidFill>
              <a:srgbClr val="4A61EE"/>
            </a:solidFill>
          </a:ln>
          <a:effectLst/>
        </c:spPr>
      </c:pivotFmt>
    </c:pivotFmts>
    <c:plotArea>
      <c:layout>
        <c:manualLayout>
          <c:layoutTarget val="inner"/>
          <c:xMode val="edge"/>
          <c:yMode val="edge"/>
          <c:x val="0.28227571342714441"/>
          <c:y val="0.12474684516389431"/>
          <c:w val="0.43544857314571117"/>
          <c:h val="0.75050630967221132"/>
        </c:manualLayout>
      </c:layout>
      <c:doughnutChart>
        <c:varyColors val="1"/>
        <c:ser>
          <c:idx val="0"/>
          <c:order val="0"/>
          <c:tx>
            <c:strRef>
              <c:f>Analysis!$R$6</c:f>
              <c:strCache>
                <c:ptCount val="1"/>
                <c:pt idx="0">
                  <c:v>Total</c:v>
                </c:pt>
              </c:strCache>
            </c:strRef>
          </c:tx>
          <c:spPr>
            <a:ln>
              <a:noFill/>
            </a:ln>
          </c:spPr>
          <c:dPt>
            <c:idx val="0"/>
            <c:bubble3D val="0"/>
            <c:spPr>
              <a:solidFill>
                <a:srgbClr val="FF7979"/>
              </a:solidFill>
              <a:ln w="50800">
                <a:solidFill>
                  <a:srgbClr val="FF7979"/>
                </a:solidFill>
              </a:ln>
              <a:effectLst/>
            </c:spPr>
            <c:extLst>
              <c:ext xmlns:c16="http://schemas.microsoft.com/office/drawing/2014/chart" uri="{C3380CC4-5D6E-409C-BE32-E72D297353CC}">
                <c16:uniqueId val="{00000001-2980-4B00-8834-6B73672C16DA}"/>
              </c:ext>
            </c:extLst>
          </c:dPt>
          <c:dPt>
            <c:idx val="1"/>
            <c:bubble3D val="0"/>
            <c:spPr>
              <a:solidFill>
                <a:srgbClr val="FFD058"/>
              </a:solidFill>
              <a:ln w="101600">
                <a:solidFill>
                  <a:srgbClr val="FFD058"/>
                </a:solidFill>
              </a:ln>
              <a:effectLst/>
            </c:spPr>
            <c:extLst>
              <c:ext xmlns:c16="http://schemas.microsoft.com/office/drawing/2014/chart" uri="{C3380CC4-5D6E-409C-BE32-E72D297353CC}">
                <c16:uniqueId val="{00000003-2980-4B00-8834-6B73672C16DA}"/>
              </c:ext>
            </c:extLst>
          </c:dPt>
          <c:dPt>
            <c:idx val="2"/>
            <c:bubble3D val="0"/>
            <c:spPr>
              <a:solidFill>
                <a:schemeClr val="accent3"/>
              </a:solidFill>
              <a:ln w="19050">
                <a:noFill/>
              </a:ln>
              <a:effectLst/>
            </c:spPr>
            <c:extLst>
              <c:ext xmlns:c16="http://schemas.microsoft.com/office/drawing/2014/chart" uri="{C3380CC4-5D6E-409C-BE32-E72D297353CC}">
                <c16:uniqueId val="{00000005-2980-4B00-8834-6B73672C16DA}"/>
              </c:ext>
            </c:extLst>
          </c:dPt>
          <c:dPt>
            <c:idx val="3"/>
            <c:bubble3D val="0"/>
            <c:spPr>
              <a:solidFill>
                <a:srgbClr val="4A61EE"/>
              </a:solidFill>
              <a:ln w="25400">
                <a:solidFill>
                  <a:srgbClr val="4A61EE"/>
                </a:solidFill>
              </a:ln>
              <a:effectLst/>
            </c:spPr>
            <c:extLst>
              <c:ext xmlns:c16="http://schemas.microsoft.com/office/drawing/2014/chart" uri="{C3380CC4-5D6E-409C-BE32-E72D297353CC}">
                <c16:uniqueId val="{00000007-2980-4B00-8834-6B73672C16DA}"/>
              </c:ext>
            </c:extLst>
          </c:dPt>
          <c:cat>
            <c:strRef>
              <c:f>Analysis!$Q$7:$Q$11</c:f>
              <c:strCache>
                <c:ptCount val="4"/>
                <c:pt idx="0">
                  <c:v>Emcee</c:v>
                </c:pt>
                <c:pt idx="1">
                  <c:v>Painting</c:v>
                </c:pt>
                <c:pt idx="2">
                  <c:v>Transcribe</c:v>
                </c:pt>
                <c:pt idx="3">
                  <c:v>Tutoring</c:v>
                </c:pt>
              </c:strCache>
            </c:strRef>
          </c:cat>
          <c:val>
            <c:numRef>
              <c:f>Analysis!$R$7:$R$11</c:f>
              <c:numCache>
                <c:formatCode>"₹"\ #,##0</c:formatCode>
                <c:ptCount val="4"/>
                <c:pt idx="0">
                  <c:v>4500</c:v>
                </c:pt>
                <c:pt idx="1">
                  <c:v>8140</c:v>
                </c:pt>
                <c:pt idx="2">
                  <c:v>1800</c:v>
                </c:pt>
                <c:pt idx="3">
                  <c:v>35000</c:v>
                </c:pt>
              </c:numCache>
            </c:numRef>
          </c:val>
          <c:extLst>
            <c:ext xmlns:c16="http://schemas.microsoft.com/office/drawing/2014/chart" uri="{C3380CC4-5D6E-409C-BE32-E72D297353CC}">
              <c16:uniqueId val="{00000008-2980-4B00-8834-6B73672C16D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Analysis.xlsm]Analysis!PivotTable4</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4A61EE"/>
          </a:solidFill>
          <a:ln>
            <a:solidFill>
              <a:srgbClr val="4A61E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D058"/>
          </a:solidFill>
          <a:ln>
            <a:solidFill>
              <a:srgbClr val="FFD058"/>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7979"/>
          </a:solidFill>
          <a:ln>
            <a:solidFill>
              <a:srgbClr val="FF7979"/>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3"/>
          </a:solidFill>
          <a:ln>
            <a:solidFill>
              <a:schemeClr val="accent3"/>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00B0F0"/>
          </a:solidFill>
          <a:ln>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solidFill>
              <a:srgbClr val="92D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5">
              <a:lumMod val="50000"/>
            </a:schemeClr>
          </a:solidFill>
          <a:ln>
            <a:solidFill>
              <a:schemeClr val="accent5">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162088679510583E-3"/>
          <c:y val="0.29609534441792379"/>
          <c:w val="0.96386396446522438"/>
          <c:h val="0.54462714526291878"/>
        </c:manualLayout>
      </c:layout>
      <c:barChart>
        <c:barDir val="col"/>
        <c:grouping val="percentStacked"/>
        <c:varyColors val="0"/>
        <c:ser>
          <c:idx val="0"/>
          <c:order val="0"/>
          <c:tx>
            <c:strRef>
              <c:f>Analysis!$H$21:$H$22</c:f>
              <c:strCache>
                <c:ptCount val="1"/>
                <c:pt idx="0">
                  <c:v>Living Expenses</c:v>
                </c:pt>
              </c:strCache>
            </c:strRef>
          </c:tx>
          <c:spPr>
            <a:solidFill>
              <a:srgbClr val="4A61EE"/>
            </a:solidFill>
            <a:ln>
              <a:solidFill>
                <a:srgbClr val="4A61EE"/>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Analysis!$H$23:$H$30</c:f>
              <c:numCache>
                <c:formatCode>"₹"\ #,##0</c:formatCode>
                <c:ptCount val="7"/>
                <c:pt idx="0">
                  <c:v>56.1</c:v>
                </c:pt>
                <c:pt idx="1">
                  <c:v>754.19999999999993</c:v>
                </c:pt>
                <c:pt idx="2">
                  <c:v>2562.3000000000002</c:v>
                </c:pt>
                <c:pt idx="3">
                  <c:v>2370</c:v>
                </c:pt>
                <c:pt idx="4">
                  <c:v>745.1</c:v>
                </c:pt>
                <c:pt idx="5">
                  <c:v>1392.1</c:v>
                </c:pt>
                <c:pt idx="6">
                  <c:v>2590.8000000000002</c:v>
                </c:pt>
              </c:numCache>
            </c:numRef>
          </c:val>
          <c:extLst>
            <c:ext xmlns:c16="http://schemas.microsoft.com/office/drawing/2014/chart" uri="{C3380CC4-5D6E-409C-BE32-E72D297353CC}">
              <c16:uniqueId val="{00000000-13C2-4B3D-976C-31B2BC9911EC}"/>
            </c:ext>
          </c:extLst>
        </c:ser>
        <c:ser>
          <c:idx val="1"/>
          <c:order val="1"/>
          <c:tx>
            <c:strRef>
              <c:f>Analysis!$I$21:$I$22</c:f>
              <c:strCache>
                <c:ptCount val="1"/>
                <c:pt idx="0">
                  <c:v>Discretionary</c:v>
                </c:pt>
              </c:strCache>
            </c:strRef>
          </c:tx>
          <c:spPr>
            <a:solidFill>
              <a:srgbClr val="FFD058"/>
            </a:solidFill>
            <a:ln>
              <a:solidFill>
                <a:srgbClr val="FFD058"/>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Analysis!$I$23:$I$30</c:f>
              <c:numCache>
                <c:formatCode>"₹"\ #,##0</c:formatCode>
                <c:ptCount val="7"/>
                <c:pt idx="0">
                  <c:v>1518.8000000000002</c:v>
                </c:pt>
                <c:pt idx="1">
                  <c:v>438.20000000000005</c:v>
                </c:pt>
                <c:pt idx="2">
                  <c:v>441.20000000000005</c:v>
                </c:pt>
                <c:pt idx="3">
                  <c:v>805.7</c:v>
                </c:pt>
                <c:pt idx="4">
                  <c:v>387.79999999999995</c:v>
                </c:pt>
                <c:pt idx="5">
                  <c:v>461.8</c:v>
                </c:pt>
                <c:pt idx="6">
                  <c:v>745.80000000000007</c:v>
                </c:pt>
              </c:numCache>
            </c:numRef>
          </c:val>
          <c:extLst>
            <c:ext xmlns:c16="http://schemas.microsoft.com/office/drawing/2014/chart" uri="{C3380CC4-5D6E-409C-BE32-E72D297353CC}">
              <c16:uniqueId val="{00000001-13C2-4B3D-976C-31B2BC9911EC}"/>
            </c:ext>
          </c:extLst>
        </c:ser>
        <c:ser>
          <c:idx val="2"/>
          <c:order val="2"/>
          <c:tx>
            <c:strRef>
              <c:f>Analysis!$J$21:$J$22</c:f>
              <c:strCache>
                <c:ptCount val="1"/>
                <c:pt idx="0">
                  <c:v>Transport</c:v>
                </c:pt>
              </c:strCache>
            </c:strRef>
          </c:tx>
          <c:spPr>
            <a:solidFill>
              <a:srgbClr val="FF7979"/>
            </a:solidFill>
            <a:ln>
              <a:solidFill>
                <a:srgbClr val="FF7979"/>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Analysis!$J$23:$J$30</c:f>
              <c:numCache>
                <c:formatCode>"₹"\ #,##0</c:formatCode>
                <c:ptCount val="7"/>
                <c:pt idx="0">
                  <c:v>207.90000000000003</c:v>
                </c:pt>
                <c:pt idx="1">
                  <c:v>226</c:v>
                </c:pt>
                <c:pt idx="2">
                  <c:v>275.2</c:v>
                </c:pt>
                <c:pt idx="3">
                  <c:v>142.30000000000001</c:v>
                </c:pt>
                <c:pt idx="4">
                  <c:v>281.89999999999998</c:v>
                </c:pt>
                <c:pt idx="5">
                  <c:v>66</c:v>
                </c:pt>
                <c:pt idx="6">
                  <c:v>145.60000000000002</c:v>
                </c:pt>
              </c:numCache>
            </c:numRef>
          </c:val>
          <c:extLst>
            <c:ext xmlns:c16="http://schemas.microsoft.com/office/drawing/2014/chart" uri="{C3380CC4-5D6E-409C-BE32-E72D297353CC}">
              <c16:uniqueId val="{00000002-13C2-4B3D-976C-31B2BC9911EC}"/>
            </c:ext>
          </c:extLst>
        </c:ser>
        <c:ser>
          <c:idx val="3"/>
          <c:order val="3"/>
          <c:tx>
            <c:strRef>
              <c:f>Analysis!$K$21:$K$22</c:f>
              <c:strCache>
                <c:ptCount val="1"/>
                <c:pt idx="0">
                  <c:v>Personal Development</c:v>
                </c:pt>
              </c:strCache>
            </c:strRef>
          </c:tx>
          <c:spPr>
            <a:solidFill>
              <a:schemeClr val="accent3"/>
            </a:solidFill>
            <a:ln>
              <a:solidFill>
                <a:schemeClr val="accent3"/>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Analysis!$K$23:$K$30</c:f>
              <c:numCache>
                <c:formatCode>"₹"\ #,##0</c:formatCode>
                <c:ptCount val="7"/>
                <c:pt idx="2">
                  <c:v>402.9</c:v>
                </c:pt>
                <c:pt idx="3">
                  <c:v>450</c:v>
                </c:pt>
                <c:pt idx="5">
                  <c:v>150</c:v>
                </c:pt>
                <c:pt idx="6">
                  <c:v>312.89999999999998</c:v>
                </c:pt>
              </c:numCache>
            </c:numRef>
          </c:val>
          <c:extLst>
            <c:ext xmlns:c16="http://schemas.microsoft.com/office/drawing/2014/chart" uri="{C3380CC4-5D6E-409C-BE32-E72D297353CC}">
              <c16:uniqueId val="{00000003-13C2-4B3D-976C-31B2BC9911EC}"/>
            </c:ext>
          </c:extLst>
        </c:ser>
        <c:ser>
          <c:idx val="4"/>
          <c:order val="4"/>
          <c:tx>
            <c:strRef>
              <c:f>Analysis!$L$21:$L$22</c:f>
              <c:strCache>
                <c:ptCount val="1"/>
                <c:pt idx="0">
                  <c:v>Dining Out</c:v>
                </c:pt>
              </c:strCache>
            </c:strRef>
          </c:tx>
          <c:spPr>
            <a:solidFill>
              <a:srgbClr val="00B0F0"/>
            </a:solidFill>
            <a:ln>
              <a:solidFill>
                <a:srgbClr val="00B0F0"/>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Analysis!$L$23:$L$30</c:f>
              <c:numCache>
                <c:formatCode>"₹"\ #,##0</c:formatCode>
                <c:ptCount val="7"/>
                <c:pt idx="0">
                  <c:v>369.09999999999997</c:v>
                </c:pt>
                <c:pt idx="1">
                  <c:v>118.9</c:v>
                </c:pt>
                <c:pt idx="2">
                  <c:v>274</c:v>
                </c:pt>
                <c:pt idx="3">
                  <c:v>237.1</c:v>
                </c:pt>
                <c:pt idx="4">
                  <c:v>217.1</c:v>
                </c:pt>
                <c:pt idx="5">
                  <c:v>256.10000000000002</c:v>
                </c:pt>
                <c:pt idx="6">
                  <c:v>240.2</c:v>
                </c:pt>
              </c:numCache>
            </c:numRef>
          </c:val>
          <c:extLst>
            <c:ext xmlns:c16="http://schemas.microsoft.com/office/drawing/2014/chart" uri="{C3380CC4-5D6E-409C-BE32-E72D297353CC}">
              <c16:uniqueId val="{00000004-13C2-4B3D-976C-31B2BC9911EC}"/>
            </c:ext>
          </c:extLst>
        </c:ser>
        <c:ser>
          <c:idx val="5"/>
          <c:order val="5"/>
          <c:tx>
            <c:strRef>
              <c:f>Analysis!$M$21:$M$22</c:f>
              <c:strCache>
                <c:ptCount val="1"/>
                <c:pt idx="0">
                  <c:v>Charity</c:v>
                </c:pt>
              </c:strCache>
            </c:strRef>
          </c:tx>
          <c:spPr>
            <a:solidFill>
              <a:srgbClr val="92D050"/>
            </a:solidFill>
            <a:ln>
              <a:solidFill>
                <a:srgbClr val="92D050"/>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Analysis!$M$23:$M$30</c:f>
              <c:numCache>
                <c:formatCode>"₹"\ #,##0</c:formatCode>
                <c:ptCount val="7"/>
                <c:pt idx="0">
                  <c:v>55</c:v>
                </c:pt>
                <c:pt idx="1">
                  <c:v>55</c:v>
                </c:pt>
                <c:pt idx="2">
                  <c:v>165</c:v>
                </c:pt>
                <c:pt idx="4">
                  <c:v>55</c:v>
                </c:pt>
                <c:pt idx="5">
                  <c:v>55</c:v>
                </c:pt>
              </c:numCache>
            </c:numRef>
          </c:val>
          <c:extLst>
            <c:ext xmlns:c16="http://schemas.microsoft.com/office/drawing/2014/chart" uri="{C3380CC4-5D6E-409C-BE32-E72D297353CC}">
              <c16:uniqueId val="{00000005-13C2-4B3D-976C-31B2BC9911EC}"/>
            </c:ext>
          </c:extLst>
        </c:ser>
        <c:ser>
          <c:idx val="6"/>
          <c:order val="6"/>
          <c:tx>
            <c:strRef>
              <c:f>Analysis!$N$21:$N$22</c:f>
              <c:strCache>
                <c:ptCount val="1"/>
                <c:pt idx="0">
                  <c:v>Medical</c:v>
                </c:pt>
              </c:strCache>
            </c:strRef>
          </c:tx>
          <c:spPr>
            <a:solidFill>
              <a:schemeClr val="accent5">
                <a:lumMod val="50000"/>
              </a:schemeClr>
            </a:solidFill>
            <a:ln>
              <a:solidFill>
                <a:schemeClr val="accent5">
                  <a:lumMod val="50000"/>
                </a:schemeClr>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Analysis!$N$23:$N$30</c:f>
              <c:numCache>
                <c:formatCode>"₹"\ #,##0</c:formatCode>
                <c:ptCount val="7"/>
                <c:pt idx="0">
                  <c:v>150</c:v>
                </c:pt>
                <c:pt idx="1">
                  <c:v>50</c:v>
                </c:pt>
                <c:pt idx="2">
                  <c:v>75</c:v>
                </c:pt>
                <c:pt idx="3">
                  <c:v>625</c:v>
                </c:pt>
                <c:pt idx="5">
                  <c:v>10</c:v>
                </c:pt>
              </c:numCache>
            </c:numRef>
          </c:val>
          <c:extLst>
            <c:ext xmlns:c16="http://schemas.microsoft.com/office/drawing/2014/chart" uri="{C3380CC4-5D6E-409C-BE32-E72D297353CC}">
              <c16:uniqueId val="{0000000A-5A83-46F4-8955-BB40976F8BA1}"/>
            </c:ext>
          </c:extLst>
        </c:ser>
        <c:dLbls>
          <c:showLegendKey val="0"/>
          <c:showVal val="0"/>
          <c:showCatName val="0"/>
          <c:showSerName val="0"/>
          <c:showPercent val="0"/>
          <c:showBubbleSize val="0"/>
        </c:dLbls>
        <c:gapWidth val="150"/>
        <c:overlap val="100"/>
        <c:axId val="1476124991"/>
        <c:axId val="1476122079"/>
      </c:barChart>
      <c:catAx>
        <c:axId val="147612499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476122079"/>
        <c:crosses val="autoZero"/>
        <c:auto val="1"/>
        <c:lblAlgn val="ctr"/>
        <c:lblOffset val="100"/>
        <c:noMultiLvlLbl val="0"/>
      </c:catAx>
      <c:valAx>
        <c:axId val="1476122079"/>
        <c:scaling>
          <c:orientation val="minMax"/>
        </c:scaling>
        <c:delete val="1"/>
        <c:axPos val="l"/>
        <c:numFmt formatCode="0%" sourceLinked="1"/>
        <c:majorTickMark val="none"/>
        <c:minorTickMark val="none"/>
        <c:tickLblPos val="nextTo"/>
        <c:crossAx val="1476124991"/>
        <c:crosses val="autoZero"/>
        <c:crossBetween val="between"/>
      </c:valAx>
      <c:spPr>
        <a:noFill/>
        <a:ln>
          <a:noFill/>
        </a:ln>
        <a:effectLst/>
      </c:spPr>
    </c:plotArea>
    <c:legend>
      <c:legendPos val="t"/>
      <c:layout>
        <c:manualLayout>
          <c:xMode val="edge"/>
          <c:yMode val="edge"/>
          <c:x val="0"/>
          <c:y val="0.10614989202783827"/>
          <c:w val="0.96467353660697064"/>
          <c:h val="0.1935682615485767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Analysis!$Y$20</c:f>
              <c:strCache>
                <c:ptCount val="1"/>
                <c:pt idx="0">
                  <c:v>Sum of Debit</c:v>
                </c:pt>
              </c:strCache>
            </c:strRef>
          </c:tx>
          <c:spPr>
            <a:solidFill>
              <a:schemeClr val="accent5">
                <a:lumMod val="50000"/>
              </a:schemeClr>
            </a:solidFill>
            <a:ln>
              <a:noFill/>
            </a:ln>
            <a:effectLst/>
          </c:spPr>
          <c:invertIfNegative val="0"/>
          <c:cat>
            <c:strRef>
              <c:f>Analysis!$X$21:$X$27</c:f>
              <c:strCache>
                <c:ptCount val="7"/>
                <c:pt idx="0">
                  <c:v>Jan</c:v>
                </c:pt>
                <c:pt idx="1">
                  <c:v>Feb</c:v>
                </c:pt>
                <c:pt idx="2">
                  <c:v>Mar</c:v>
                </c:pt>
                <c:pt idx="3">
                  <c:v>Apr</c:v>
                </c:pt>
                <c:pt idx="4">
                  <c:v>May</c:v>
                </c:pt>
                <c:pt idx="5">
                  <c:v>Jun</c:v>
                </c:pt>
                <c:pt idx="6">
                  <c:v>Jul</c:v>
                </c:pt>
              </c:strCache>
            </c:strRef>
          </c:cat>
          <c:val>
            <c:numRef>
              <c:f>Analysis!$Y$21:$Y$27</c:f>
              <c:numCache>
                <c:formatCode>General</c:formatCode>
                <c:ptCount val="7"/>
                <c:pt idx="0">
                  <c:v>2924</c:v>
                </c:pt>
                <c:pt idx="1">
                  <c:v>3154.6000000000004</c:v>
                </c:pt>
                <c:pt idx="2">
                  <c:v>2899.7</c:v>
                </c:pt>
                <c:pt idx="3">
                  <c:v>2898</c:v>
                </c:pt>
                <c:pt idx="4">
                  <c:v>3091.1</c:v>
                </c:pt>
                <c:pt idx="5">
                  <c:v>2775.7</c:v>
                </c:pt>
                <c:pt idx="6">
                  <c:v>3195</c:v>
                </c:pt>
              </c:numCache>
            </c:numRef>
          </c:val>
          <c:extLst>
            <c:ext xmlns:c16="http://schemas.microsoft.com/office/drawing/2014/chart" uri="{C3380CC4-5D6E-409C-BE32-E72D297353CC}">
              <c16:uniqueId val="{00000000-F7D6-4062-B22D-176D3EB9E047}"/>
            </c:ext>
          </c:extLst>
        </c:ser>
        <c:dLbls>
          <c:showLegendKey val="0"/>
          <c:showVal val="0"/>
          <c:showCatName val="0"/>
          <c:showSerName val="0"/>
          <c:showPercent val="0"/>
          <c:showBubbleSize val="0"/>
        </c:dLbls>
        <c:gapWidth val="40"/>
        <c:overlap val="-27"/>
        <c:axId val="1710317519"/>
        <c:axId val="1710302543"/>
      </c:barChart>
      <c:catAx>
        <c:axId val="1710317519"/>
        <c:scaling>
          <c:orientation val="minMax"/>
        </c:scaling>
        <c:delete val="0"/>
        <c:axPos val="b"/>
        <c:numFmt formatCode="General" sourceLinked="1"/>
        <c:majorTickMark val="none"/>
        <c:minorTickMark val="none"/>
        <c:tickLblPos val="nextTo"/>
        <c:spPr>
          <a:noFill/>
          <a:ln w="25400" cap="flat" cmpd="sng" algn="ctr">
            <a:solidFill>
              <a:schemeClr val="accent3">
                <a:lumMod val="7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710302543"/>
        <c:crosses val="autoZero"/>
        <c:auto val="1"/>
        <c:lblAlgn val="ctr"/>
        <c:lblOffset val="100"/>
        <c:noMultiLvlLbl val="0"/>
      </c:catAx>
      <c:valAx>
        <c:axId val="1710302543"/>
        <c:scaling>
          <c:orientation val="minMax"/>
        </c:scaling>
        <c:delete val="1"/>
        <c:axPos val="l"/>
        <c:numFmt formatCode="General" sourceLinked="1"/>
        <c:majorTickMark val="none"/>
        <c:minorTickMark val="none"/>
        <c:tickLblPos val="nextTo"/>
        <c:crossAx val="17103175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Analysis.xlsm]Analysis!PivotTable3</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7979"/>
          </a:solidFill>
          <a:ln>
            <a:solidFill>
              <a:srgbClr val="FF7979"/>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65000"/>
            </a:schemeClr>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4A61EE"/>
          </a:solidFill>
          <a:ln>
            <a:solidFill>
              <a:srgbClr val="4A61E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65000"/>
            </a:schemeClr>
          </a:solidFill>
          <a:ln>
            <a:solidFill>
              <a:schemeClr val="bg1">
                <a:lumMod val="65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576646179561099"/>
                  <c:h val="0.19502444887309187"/>
                </c:manualLayout>
              </c15:layout>
            </c:ext>
          </c:extLst>
        </c:dLbl>
      </c:pivotFmt>
      <c:pivotFmt>
        <c:idx val="10"/>
        <c:spPr>
          <a:solidFill>
            <a:srgbClr val="4A61EE"/>
          </a:solidFill>
          <a:ln>
            <a:solidFill>
              <a:srgbClr val="4A61EE"/>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008691158836252"/>
                  <c:h val="0.19502444887309187"/>
                </c:manualLayout>
              </c15:layout>
            </c:ext>
          </c:extLst>
        </c:dLbl>
      </c:pivotFmt>
      <c:pivotFmt>
        <c:idx val="11"/>
        <c:spPr>
          <a:solidFill>
            <a:srgbClr val="FF7979"/>
          </a:solidFill>
          <a:ln>
            <a:solidFill>
              <a:srgbClr val="FF7979"/>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40841581411065664"/>
                  <c:h val="0.19502444887309187"/>
                </c:manualLayout>
              </c15:layout>
            </c:ext>
          </c:extLst>
        </c:dLbl>
      </c:pivotFmt>
    </c:pivotFmts>
    <c:plotArea>
      <c:layout>
        <c:manualLayout>
          <c:layoutTarget val="inner"/>
          <c:xMode val="edge"/>
          <c:yMode val="edge"/>
          <c:x val="5.7578354165816595E-2"/>
          <c:y val="0"/>
          <c:w val="0.88484329166836684"/>
          <c:h val="0.92746391628390945"/>
        </c:manualLayout>
      </c:layout>
      <c:barChart>
        <c:barDir val="col"/>
        <c:grouping val="percentStacked"/>
        <c:varyColors val="0"/>
        <c:ser>
          <c:idx val="0"/>
          <c:order val="0"/>
          <c:tx>
            <c:strRef>
              <c:f>Analysis!$M$4</c:f>
              <c:strCache>
                <c:ptCount val="1"/>
                <c:pt idx="0">
                  <c:v>Sum of Debit</c:v>
                </c:pt>
              </c:strCache>
            </c:strRef>
          </c:tx>
          <c:spPr>
            <a:solidFill>
              <a:srgbClr val="FF7979"/>
            </a:solidFill>
            <a:ln>
              <a:solidFill>
                <a:srgbClr val="FF7979"/>
              </a:solidFill>
            </a:ln>
            <a:effectLst/>
          </c:spPr>
          <c:invertIfNegative val="0"/>
          <c:dPt>
            <c:idx val="0"/>
            <c:invertIfNegative val="0"/>
            <c:bubble3D val="0"/>
            <c:spPr>
              <a:solidFill>
                <a:srgbClr val="FF7979"/>
              </a:solidFill>
              <a:ln>
                <a:solidFill>
                  <a:srgbClr val="FF7979"/>
                </a:solidFill>
              </a:ln>
              <a:effectLst/>
            </c:spPr>
            <c:extLst>
              <c:ext xmlns:c16="http://schemas.microsoft.com/office/drawing/2014/chart" uri="{C3380CC4-5D6E-409C-BE32-E72D297353CC}">
                <c16:uniqueId val="{00000002-A813-4FAE-B60D-F0D3C774CC3E}"/>
              </c:ext>
            </c:extLst>
          </c:dPt>
          <c:dLbls>
            <c:dLbl>
              <c:idx val="0"/>
              <c:dLblPos val="ctr"/>
              <c:showLegendKey val="0"/>
              <c:showVal val="1"/>
              <c:showCatName val="0"/>
              <c:showSerName val="0"/>
              <c:showPercent val="0"/>
              <c:showBubbleSize val="0"/>
              <c:extLst>
                <c:ext xmlns:c15="http://schemas.microsoft.com/office/drawing/2012/chart" uri="{CE6537A1-D6FC-4f65-9D91-7224C49458BB}">
                  <c15:layout>
                    <c:manualLayout>
                      <c:w val="0.40841581411065664"/>
                      <c:h val="0.19502444887309187"/>
                    </c:manualLayout>
                  </c15:layout>
                </c:ext>
                <c:ext xmlns:c16="http://schemas.microsoft.com/office/drawing/2014/chart" uri="{C3380CC4-5D6E-409C-BE32-E72D297353CC}">
                  <c16:uniqueId val="{00000002-A813-4FAE-B60D-F0D3C774CC3E}"/>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Analysis!$M$5</c:f>
              <c:strCache>
                <c:ptCount val="1"/>
                <c:pt idx="0">
                  <c:v>Total</c:v>
                </c:pt>
              </c:strCache>
            </c:strRef>
          </c:cat>
          <c:val>
            <c:numRef>
              <c:f>Analysis!$M$5</c:f>
              <c:numCache>
                <c:formatCode>"₹"\ #,##0</c:formatCode>
                <c:ptCount val="1"/>
                <c:pt idx="0">
                  <c:v>20938.099999999991</c:v>
                </c:pt>
              </c:numCache>
            </c:numRef>
          </c:val>
          <c:extLst>
            <c:ext xmlns:c16="http://schemas.microsoft.com/office/drawing/2014/chart" uri="{C3380CC4-5D6E-409C-BE32-E72D297353CC}">
              <c16:uniqueId val="{00000000-5B7F-4AE9-9B00-FFD49CDDBEBE}"/>
            </c:ext>
          </c:extLst>
        </c:ser>
        <c:ser>
          <c:idx val="1"/>
          <c:order val="1"/>
          <c:tx>
            <c:strRef>
              <c:f>Analysis!$N$4</c:f>
              <c:strCache>
                <c:ptCount val="1"/>
                <c:pt idx="0">
                  <c:v>Sum of Credit</c:v>
                </c:pt>
              </c:strCache>
            </c:strRef>
          </c:tx>
          <c:spPr>
            <a:solidFill>
              <a:schemeClr val="bg1">
                <a:lumMod val="65000"/>
              </a:schemeClr>
            </a:solidFill>
            <a:ln>
              <a:solidFill>
                <a:schemeClr val="bg1">
                  <a:lumMod val="65000"/>
                </a:schemeClr>
              </a:solidFill>
            </a:ln>
            <a:effectLst/>
          </c:spPr>
          <c:invertIfNegative val="0"/>
          <c:dPt>
            <c:idx val="0"/>
            <c:invertIfNegative val="0"/>
            <c:bubble3D val="0"/>
            <c:spPr>
              <a:solidFill>
                <a:schemeClr val="bg1">
                  <a:lumMod val="65000"/>
                </a:schemeClr>
              </a:solidFill>
              <a:ln>
                <a:solidFill>
                  <a:schemeClr val="bg1">
                    <a:lumMod val="65000"/>
                  </a:schemeClr>
                </a:solidFill>
              </a:ln>
              <a:effectLst/>
            </c:spPr>
            <c:extLst>
              <c:ext xmlns:c16="http://schemas.microsoft.com/office/drawing/2014/chart" uri="{C3380CC4-5D6E-409C-BE32-E72D297353CC}">
                <c16:uniqueId val="{00000000-A813-4FAE-B60D-F0D3C774CC3E}"/>
              </c:ext>
            </c:extLst>
          </c:dPt>
          <c:dLbls>
            <c:dLbl>
              <c:idx val="0"/>
              <c:dLblPos val="ctr"/>
              <c:showLegendKey val="0"/>
              <c:showVal val="1"/>
              <c:showCatName val="0"/>
              <c:showSerName val="0"/>
              <c:showPercent val="0"/>
              <c:showBubbleSize val="0"/>
              <c:extLst>
                <c:ext xmlns:c15="http://schemas.microsoft.com/office/drawing/2012/chart" uri="{CE6537A1-D6FC-4f65-9D91-7224C49458BB}">
                  <c15:layout>
                    <c:manualLayout>
                      <c:w val="0.34576646179561099"/>
                      <c:h val="0.19502444887309187"/>
                    </c:manualLayout>
                  </c15:layout>
                </c:ext>
                <c:ext xmlns:c16="http://schemas.microsoft.com/office/drawing/2014/chart" uri="{C3380CC4-5D6E-409C-BE32-E72D297353CC}">
                  <c16:uniqueId val="{00000000-A813-4FAE-B60D-F0D3C774CC3E}"/>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Analysis!$M$5</c:f>
              <c:strCache>
                <c:ptCount val="1"/>
                <c:pt idx="0">
                  <c:v>Total</c:v>
                </c:pt>
              </c:strCache>
            </c:strRef>
          </c:cat>
          <c:val>
            <c:numRef>
              <c:f>Analysis!$N$5</c:f>
              <c:numCache>
                <c:formatCode>"₹"\ #,##0</c:formatCode>
                <c:ptCount val="1"/>
                <c:pt idx="0">
                  <c:v>49440</c:v>
                </c:pt>
              </c:numCache>
            </c:numRef>
          </c:val>
          <c:extLst>
            <c:ext xmlns:c16="http://schemas.microsoft.com/office/drawing/2014/chart" uri="{C3380CC4-5D6E-409C-BE32-E72D297353CC}">
              <c16:uniqueId val="{00000001-5B7F-4AE9-9B00-FFD49CDDBEBE}"/>
            </c:ext>
          </c:extLst>
        </c:ser>
        <c:ser>
          <c:idx val="2"/>
          <c:order val="2"/>
          <c:tx>
            <c:strRef>
              <c:f>Analysis!$O$4</c:f>
              <c:strCache>
                <c:ptCount val="1"/>
                <c:pt idx="0">
                  <c:v>Sum of Amount</c:v>
                </c:pt>
              </c:strCache>
            </c:strRef>
          </c:tx>
          <c:spPr>
            <a:solidFill>
              <a:srgbClr val="4A61EE"/>
            </a:solidFill>
            <a:ln>
              <a:solidFill>
                <a:srgbClr val="4A61EE"/>
              </a:solidFill>
            </a:ln>
            <a:effectLst/>
          </c:spPr>
          <c:invertIfNegative val="0"/>
          <c:dPt>
            <c:idx val="0"/>
            <c:invertIfNegative val="0"/>
            <c:bubble3D val="0"/>
            <c:spPr>
              <a:solidFill>
                <a:srgbClr val="4A61EE"/>
              </a:solidFill>
              <a:ln>
                <a:solidFill>
                  <a:srgbClr val="4A61EE"/>
                </a:solidFill>
              </a:ln>
              <a:effectLst/>
            </c:spPr>
            <c:extLst>
              <c:ext xmlns:c16="http://schemas.microsoft.com/office/drawing/2014/chart" uri="{C3380CC4-5D6E-409C-BE32-E72D297353CC}">
                <c16:uniqueId val="{00000001-A813-4FAE-B60D-F0D3C774CC3E}"/>
              </c:ext>
            </c:extLst>
          </c:dPt>
          <c:dLbls>
            <c:dLbl>
              <c:idx val="0"/>
              <c:dLblPos val="ctr"/>
              <c:showLegendKey val="0"/>
              <c:showVal val="1"/>
              <c:showCatName val="0"/>
              <c:showSerName val="0"/>
              <c:showPercent val="0"/>
              <c:showBubbleSize val="0"/>
              <c:extLst>
                <c:ext xmlns:c15="http://schemas.microsoft.com/office/drawing/2012/chart" uri="{CE6537A1-D6FC-4f65-9D91-7224C49458BB}">
                  <c15:layout>
                    <c:manualLayout>
                      <c:w val="0.34008691158836252"/>
                      <c:h val="0.19502444887309187"/>
                    </c:manualLayout>
                  </c15:layout>
                </c:ext>
                <c:ext xmlns:c16="http://schemas.microsoft.com/office/drawing/2014/chart" uri="{C3380CC4-5D6E-409C-BE32-E72D297353CC}">
                  <c16:uniqueId val="{00000001-A813-4FAE-B60D-F0D3C774CC3E}"/>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Analysis!$M$5</c:f>
              <c:strCache>
                <c:ptCount val="1"/>
                <c:pt idx="0">
                  <c:v>Total</c:v>
                </c:pt>
              </c:strCache>
            </c:strRef>
          </c:cat>
          <c:val>
            <c:numRef>
              <c:f>Analysis!$O$5</c:f>
              <c:numCache>
                <c:formatCode>"₹"\ #,##0</c:formatCode>
                <c:ptCount val="1"/>
                <c:pt idx="0">
                  <c:v>28501.900000000005</c:v>
                </c:pt>
              </c:numCache>
            </c:numRef>
          </c:val>
          <c:extLst>
            <c:ext xmlns:c16="http://schemas.microsoft.com/office/drawing/2014/chart" uri="{C3380CC4-5D6E-409C-BE32-E72D297353CC}">
              <c16:uniqueId val="{00000002-5B7F-4AE9-9B00-FFD49CDDBEBE}"/>
            </c:ext>
          </c:extLst>
        </c:ser>
        <c:dLbls>
          <c:dLblPos val="ctr"/>
          <c:showLegendKey val="0"/>
          <c:showVal val="1"/>
          <c:showCatName val="0"/>
          <c:showSerName val="0"/>
          <c:showPercent val="0"/>
          <c:showBubbleSize val="0"/>
        </c:dLbls>
        <c:gapWidth val="150"/>
        <c:overlap val="100"/>
        <c:axId val="288417583"/>
        <c:axId val="288416751"/>
      </c:barChart>
      <c:catAx>
        <c:axId val="288417583"/>
        <c:scaling>
          <c:orientation val="minMax"/>
        </c:scaling>
        <c:delete val="1"/>
        <c:axPos val="b"/>
        <c:numFmt formatCode="General" sourceLinked="1"/>
        <c:majorTickMark val="none"/>
        <c:minorTickMark val="none"/>
        <c:tickLblPos val="nextTo"/>
        <c:crossAx val="288416751"/>
        <c:crosses val="autoZero"/>
        <c:auto val="1"/>
        <c:lblAlgn val="ctr"/>
        <c:lblOffset val="100"/>
        <c:noMultiLvlLbl val="0"/>
      </c:catAx>
      <c:valAx>
        <c:axId val="288416751"/>
        <c:scaling>
          <c:orientation val="minMax"/>
        </c:scaling>
        <c:delete val="1"/>
        <c:axPos val="l"/>
        <c:numFmt formatCode="0%" sourceLinked="1"/>
        <c:majorTickMark val="none"/>
        <c:minorTickMark val="none"/>
        <c:tickLblPos val="nextTo"/>
        <c:crossAx val="288417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_xlchart.v5.0</cx:f>
      </cx:strDim>
      <cx:numDim type="val">
        <cx:f>_xlchart.v5.2</cx:f>
      </cx:numDim>
    </cx:data>
  </cx:chartData>
  <cx:chart>
    <cx:plotArea>
      <cx:plotAreaRegion>
        <cx:series layoutId="waterfall" uniqueId="{5DE9037A-6732-4250-9BA5-2932580E1EA3}">
          <cx:tx>
            <cx:txData>
              <cx:f>_xlchart.v5.1</cx:f>
              <cx:v>Sum of Amount</cx:v>
            </cx:txData>
          </cx:tx>
          <cx:dataLabels pos="outEnd">
            <cx:spPr>
              <a:noFill/>
            </cx:spPr>
            <cx:txPr>
              <a:bodyPr spcFirstLastPara="1" vertOverflow="ellipsis" horzOverflow="overflow" wrap="square" lIns="0" tIns="0" rIns="0" bIns="0" anchor="ctr" anchorCtr="1"/>
              <a:lstStyle/>
              <a:p>
                <a:pPr algn="ctr" rtl="0">
                  <a:defRPr sz="1100" b="1">
                    <a:solidFill>
                      <a:schemeClr val="tx1"/>
                    </a:solidFill>
                  </a:defRPr>
                </a:pPr>
                <a:endParaRPr lang="en-US" sz="1100" b="1" i="0" u="none" strike="noStrike" baseline="0">
                  <a:solidFill>
                    <a:schemeClr val="tx1"/>
                  </a:solidFill>
                  <a:latin typeface="Calibri" panose="020F0502020204030204"/>
                </a:endParaRPr>
              </a:p>
            </cx:txPr>
            <cx:visibility seriesName="0" categoryName="0" value="1"/>
          </cx:dataLabels>
          <cx:dataId val="0"/>
          <cx:layoutPr>
            <cx:subtotals>
              <cx:idx val="9"/>
            </cx:subtotals>
          </cx:layoutPr>
        </cx:series>
      </cx:plotAreaRegion>
      <cx:axis id="0">
        <cx:catScaling gapWidth="0.5"/>
        <cx:tickLabels/>
        <cx:spPr>
          <a:ln w="25400" cap="sq">
            <a:solidFill>
              <a:schemeClr val="accent3">
                <a:lumMod val="75000"/>
              </a:schemeClr>
            </a:solidFill>
            <a:round/>
          </a:ln>
        </cx:spPr>
        <cx:txPr>
          <a:bodyPr spcFirstLastPara="1" vertOverflow="ellipsis" horzOverflow="overflow" wrap="square" lIns="0" tIns="0" rIns="0" bIns="0" anchor="ctr" anchorCtr="1"/>
          <a:lstStyle/>
          <a:p>
            <a:pPr algn="ctr" rtl="0">
              <a:defRPr sz="900" b="1">
                <a:solidFill>
                  <a:schemeClr val="tx1"/>
                </a:solidFill>
              </a:defRPr>
            </a:pPr>
            <a:endParaRPr lang="en-US" sz="900" b="1" i="0" u="none" strike="noStrike" baseline="0">
              <a:solidFill>
                <a:schemeClr val="tx1"/>
              </a:solidFill>
              <a:latin typeface="Calibri" panose="020F0502020204030204"/>
            </a:endParaRPr>
          </a:p>
        </cx:txPr>
      </cx:axis>
      <cx:axis id="1" hidden="1">
        <cx:valScaling/>
        <cx:tickLabels/>
      </cx:axis>
    </cx:plotArea>
    <cx:legend pos="t" align="ctr" overlay="0">
      <cx:txPr>
        <a:bodyPr spcFirstLastPara="1" vertOverflow="ellipsis" horzOverflow="overflow" wrap="square" lIns="0" tIns="0" rIns="0" bIns="0" anchor="ctr" anchorCtr="1"/>
        <a:lstStyle/>
        <a:p>
          <a:pPr algn="ctr" rtl="0">
            <a:defRPr b="0">
              <a:solidFill>
                <a:schemeClr val="tx1"/>
              </a:solidFill>
            </a:defRPr>
          </a:pPr>
          <a:endParaRPr lang="en-US" sz="900" b="0" i="0" u="none" strike="noStrike" baseline="0">
            <a:solidFill>
              <a:schemeClr val="tx1"/>
            </a:solidFill>
            <a:latin typeface="Calibri" panose="020F0502020204030204"/>
          </a:endParaRPr>
        </a:p>
      </cx:txPr>
    </cx:legend>
  </cx:chart>
  <cx:spPr>
    <a:solidFill>
      <a:schemeClr val="bg1"/>
    </a:solidFill>
    <a:ln>
      <a:noFill/>
    </a:ln>
  </cx:spPr>
  <cx:fmtOvrs>
    <cx:fmtOvr idx="0">
      <cx:spPr>
        <a:solidFill>
          <a:srgbClr val="4A61EE"/>
        </a:solidFill>
      </cx:spPr>
    </cx:fmtOvr>
    <cx:fmtOvr idx="1">
      <cx:spPr>
        <a:solidFill>
          <a:srgbClr val="FF7979"/>
        </a:solidFill>
      </cx:spPr>
    </cx:fmtOvr>
    <cx:fmtOvr idx="2">
      <cx:spPr>
        <a:solidFill>
          <a:schemeClr val="bg1">
            <a:lumMod val="65000"/>
          </a:schemeClr>
        </a:solidFill>
      </cx:spPr>
    </cx:fmtOvr>
  </cx:fmtOvrs>
</cx: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X$19"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3" Type="http://schemas.openxmlformats.org/officeDocument/2006/relationships/chart" Target="../charts/chart2.xml"/><Relationship Id="rId18" Type="http://schemas.openxmlformats.org/officeDocument/2006/relationships/image" Target="../media/image13.png"/><Relationship Id="rId26" Type="http://schemas.openxmlformats.org/officeDocument/2006/relationships/image" Target="../media/image21.png"/><Relationship Id="rId21" Type="http://schemas.openxmlformats.org/officeDocument/2006/relationships/image" Target="../media/image16.svg"/><Relationship Id="rId34" Type="http://schemas.openxmlformats.org/officeDocument/2006/relationships/image" Target="../media/image27.png"/><Relationship Id="rId7" Type="http://schemas.openxmlformats.org/officeDocument/2006/relationships/image" Target="../media/image7.png"/><Relationship Id="rId12" Type="http://schemas.openxmlformats.org/officeDocument/2006/relationships/chart" Target="../charts/chart1.xml"/><Relationship Id="rId17" Type="http://schemas.openxmlformats.org/officeDocument/2006/relationships/image" Target="../media/image12.svg"/><Relationship Id="rId25" Type="http://schemas.openxmlformats.org/officeDocument/2006/relationships/image" Target="../media/image20.svg"/><Relationship Id="rId33" Type="http://schemas.openxmlformats.org/officeDocument/2006/relationships/image" Target="../media/image26.svg"/><Relationship Id="rId38" Type="http://schemas.openxmlformats.org/officeDocument/2006/relationships/image" Target="../media/image30.svg"/><Relationship Id="rId2" Type="http://schemas.openxmlformats.org/officeDocument/2006/relationships/image" Target="../media/image2.svg"/><Relationship Id="rId16" Type="http://schemas.openxmlformats.org/officeDocument/2006/relationships/image" Target="../media/image11.png"/><Relationship Id="rId20" Type="http://schemas.openxmlformats.org/officeDocument/2006/relationships/image" Target="../media/image15.png"/><Relationship Id="rId29" Type="http://schemas.openxmlformats.org/officeDocument/2006/relationships/image" Target="../media/image24.svg"/><Relationship Id="rId1" Type="http://schemas.openxmlformats.org/officeDocument/2006/relationships/image" Target="../media/image1.png"/><Relationship Id="rId6" Type="http://schemas.openxmlformats.org/officeDocument/2006/relationships/image" Target="../media/image6.svg"/><Relationship Id="rId11" Type="http://schemas.microsoft.com/office/2014/relationships/chartEx" Target="../charts/chartEx1.xml"/><Relationship Id="rId24" Type="http://schemas.openxmlformats.org/officeDocument/2006/relationships/image" Target="../media/image19.png"/><Relationship Id="rId32" Type="http://schemas.openxmlformats.org/officeDocument/2006/relationships/image" Target="../media/image25.png"/><Relationship Id="rId37" Type="http://schemas.openxmlformats.org/officeDocument/2006/relationships/image" Target="../media/image29.png"/><Relationship Id="rId5" Type="http://schemas.openxmlformats.org/officeDocument/2006/relationships/image" Target="../media/image5.png"/><Relationship Id="rId15" Type="http://schemas.openxmlformats.org/officeDocument/2006/relationships/chart" Target="../charts/chart4.xml"/><Relationship Id="rId23" Type="http://schemas.openxmlformats.org/officeDocument/2006/relationships/image" Target="../media/image18.svg"/><Relationship Id="rId28" Type="http://schemas.openxmlformats.org/officeDocument/2006/relationships/image" Target="../media/image23.png"/><Relationship Id="rId36" Type="http://schemas.openxmlformats.org/officeDocument/2006/relationships/hyperlink" Target="#Analysis!A1"/><Relationship Id="rId10" Type="http://schemas.openxmlformats.org/officeDocument/2006/relationships/image" Target="../media/image10.svg"/><Relationship Id="rId19" Type="http://schemas.openxmlformats.org/officeDocument/2006/relationships/image" Target="../media/image14.svg"/><Relationship Id="rId31" Type="http://schemas.openxmlformats.org/officeDocument/2006/relationships/chart" Target="../charts/chart6.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3.xml"/><Relationship Id="rId22" Type="http://schemas.openxmlformats.org/officeDocument/2006/relationships/image" Target="../media/image17.png"/><Relationship Id="rId27" Type="http://schemas.openxmlformats.org/officeDocument/2006/relationships/image" Target="../media/image22.svg"/><Relationship Id="rId30" Type="http://schemas.openxmlformats.org/officeDocument/2006/relationships/chart" Target="../charts/chart5.xml"/><Relationship Id="rId35" Type="http://schemas.openxmlformats.org/officeDocument/2006/relationships/image" Target="../media/image28.svg"/><Relationship Id="rId8" Type="http://schemas.openxmlformats.org/officeDocument/2006/relationships/image" Target="../media/image8.sv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1</xdr:col>
      <xdr:colOff>10717</xdr:colOff>
      <xdr:row>1</xdr:row>
      <xdr:rowOff>11044</xdr:rowOff>
    </xdr:from>
    <xdr:to>
      <xdr:col>22</xdr:col>
      <xdr:colOff>1163</xdr:colOff>
      <xdr:row>5</xdr:row>
      <xdr:rowOff>61915</xdr:rowOff>
    </xdr:to>
    <xdr:sp macro=""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98456" y="198783"/>
          <a:ext cx="12657316" cy="680349"/>
        </a:xfrm>
        <a:prstGeom prst="roundRect">
          <a:avLst/>
        </a:prstGeom>
        <a:solidFill>
          <a:sysClr val="window" lastClr="FFFFFF"/>
        </a:solidFill>
        <a:ln w="19050">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185738</xdr:colOff>
      <xdr:row>1</xdr:row>
      <xdr:rowOff>19258</xdr:rowOff>
    </xdr:from>
    <xdr:to>
      <xdr:col>2</xdr:col>
      <xdr:colOff>164726</xdr:colOff>
      <xdr:row>36</xdr:row>
      <xdr:rowOff>149679</xdr:rowOff>
    </xdr:to>
    <xdr:sp macro="" textlink="">
      <xdr:nvSpPr>
        <xdr:cNvPr id="2" name="Rectangle: Rounded Corners 1">
          <a:extLst>
            <a:ext uri="{FF2B5EF4-FFF2-40B4-BE49-F238E27FC236}">
              <a16:creationId xmlns:a16="http://schemas.microsoft.com/office/drawing/2014/main" id="{00000000-0008-0000-0200-000002000000}"/>
            </a:ext>
          </a:extLst>
        </xdr:cNvPr>
        <xdr:cNvSpPr/>
      </xdr:nvSpPr>
      <xdr:spPr>
        <a:xfrm>
          <a:off x="185738" y="206997"/>
          <a:ext cx="597423" cy="6491465"/>
        </a:xfrm>
        <a:prstGeom prst="roundRect">
          <a:avLst>
            <a:gd name="adj" fmla="val 12916"/>
          </a:avLst>
        </a:prstGeom>
        <a:solidFill>
          <a:schemeClr val="bg1"/>
        </a:solidFill>
        <a:ln w="19050">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xdr:col>
      <xdr:colOff>309218</xdr:colOff>
      <xdr:row>1</xdr:row>
      <xdr:rowOff>99391</xdr:rowOff>
    </xdr:from>
    <xdr:to>
      <xdr:col>2</xdr:col>
      <xdr:colOff>77304</xdr:colOff>
      <xdr:row>36</xdr:row>
      <xdr:rowOff>144236</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496957" y="287130"/>
          <a:ext cx="198782" cy="6405889"/>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xdr:col>
      <xdr:colOff>112852</xdr:colOff>
      <xdr:row>0</xdr:row>
      <xdr:rowOff>91453</xdr:rowOff>
    </xdr:from>
    <xdr:to>
      <xdr:col>4</xdr:col>
      <xdr:colOff>128704</xdr:colOff>
      <xdr:row>4</xdr:row>
      <xdr:rowOff>107840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731287" y="91453"/>
          <a:ext cx="1274808" cy="6458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accent5">
                  <a:lumMod val="50000"/>
                </a:schemeClr>
              </a:solidFill>
              <a:latin typeface="+mn-lt"/>
              <a:ea typeface="+mn-ea"/>
              <a:cs typeface="+mn-cs"/>
            </a:rPr>
            <a:t>Finance</a:t>
          </a:r>
        </a:p>
      </xdr:txBody>
    </xdr:sp>
    <xdr:clientData/>
  </xdr:twoCellAnchor>
  <xdr:twoCellAnchor>
    <xdr:from>
      <xdr:col>2</xdr:col>
      <xdr:colOff>204488</xdr:colOff>
      <xdr:row>2</xdr:row>
      <xdr:rowOff>119442</xdr:rowOff>
    </xdr:from>
    <xdr:to>
      <xdr:col>3</xdr:col>
      <xdr:colOff>585488</xdr:colOff>
      <xdr:row>5</xdr:row>
      <xdr:rowOff>128967</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822923" y="494920"/>
          <a:ext cx="1010478" cy="451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accent5">
                  <a:lumMod val="50000"/>
                </a:schemeClr>
              </a:solidFill>
            </a:rPr>
            <a:t>Dashboard</a:t>
          </a:r>
        </a:p>
      </xdr:txBody>
    </xdr:sp>
    <xdr:clientData/>
  </xdr:twoCellAnchor>
  <xdr:twoCellAnchor>
    <xdr:from>
      <xdr:col>2</xdr:col>
      <xdr:colOff>197877</xdr:colOff>
      <xdr:row>2</xdr:row>
      <xdr:rowOff>172671</xdr:rowOff>
    </xdr:from>
    <xdr:to>
      <xdr:col>2</xdr:col>
      <xdr:colOff>243596</xdr:colOff>
      <xdr:row>5</xdr:row>
      <xdr:rowOff>11667</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816312" y="548149"/>
          <a:ext cx="45719" cy="280735"/>
        </a:xfrm>
        <a:prstGeom prst="rect">
          <a:avLst/>
        </a:prstGeom>
        <a:solidFill>
          <a:schemeClr val="accent5">
            <a:lumMod val="50000"/>
          </a:schemeClr>
        </a:solidFill>
        <a:ln w="2877" cap="flat">
          <a:noFill/>
          <a:prstDash val="solid"/>
          <a:miter/>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157745</xdr:colOff>
      <xdr:row>3</xdr:row>
      <xdr:rowOff>13436</xdr:rowOff>
    </xdr:from>
    <xdr:to>
      <xdr:col>2</xdr:col>
      <xdr:colOff>51722</xdr:colOff>
      <xdr:row>5</xdr:row>
      <xdr:rowOff>75930</xdr:rowOff>
    </xdr:to>
    <xdr:pic>
      <xdr:nvPicPr>
        <xdr:cNvPr id="10" name="Graphic 9" descr="Suburban scene">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48245" y="560443"/>
          <a:ext cx="343013" cy="312866"/>
        </a:xfrm>
        <a:prstGeom prst="rect">
          <a:avLst/>
        </a:prstGeom>
      </xdr:spPr>
    </xdr:pic>
    <xdr:clientData/>
  </xdr:twoCellAnchor>
  <xdr:twoCellAnchor editAs="oneCell">
    <xdr:from>
      <xdr:col>2</xdr:col>
      <xdr:colOff>166904</xdr:colOff>
      <xdr:row>1</xdr:row>
      <xdr:rowOff>104301</xdr:rowOff>
    </xdr:from>
    <xdr:to>
      <xdr:col>2</xdr:col>
      <xdr:colOff>393276</xdr:colOff>
      <xdr:row>2</xdr:row>
      <xdr:rowOff>116533</xdr:rowOff>
    </xdr:to>
    <xdr:pic>
      <xdr:nvPicPr>
        <xdr:cNvPr id="11" name="Graphic 10" descr="Server">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85339" y="292040"/>
          <a:ext cx="226372" cy="199971"/>
        </a:xfrm>
        <a:prstGeom prst="rect">
          <a:avLst/>
        </a:prstGeom>
      </xdr:spPr>
    </xdr:pic>
    <xdr:clientData/>
  </xdr:twoCellAnchor>
  <xdr:twoCellAnchor>
    <xdr:from>
      <xdr:col>7</xdr:col>
      <xdr:colOff>372349</xdr:colOff>
      <xdr:row>1</xdr:row>
      <xdr:rowOff>121957</xdr:rowOff>
    </xdr:from>
    <xdr:to>
      <xdr:col>15</xdr:col>
      <xdr:colOff>59718</xdr:colOff>
      <xdr:row>4</xdr:row>
      <xdr:rowOff>131482</xdr:rowOff>
    </xdr:to>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4243582" y="305654"/>
          <a:ext cx="4585940" cy="444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0">
              <a:solidFill>
                <a:schemeClr val="accent5">
                  <a:lumMod val="50000"/>
                </a:schemeClr>
              </a:solidFill>
              <a:latin typeface="+mn-lt"/>
              <a:ea typeface="+mn-ea"/>
              <a:cs typeface="+mn-cs"/>
            </a:rPr>
            <a:t>PERSONAL</a:t>
          </a:r>
          <a:r>
            <a:rPr lang="en-IN" sz="2400" b="0" baseline="0">
              <a:solidFill>
                <a:schemeClr val="accent5">
                  <a:lumMod val="50000"/>
                </a:schemeClr>
              </a:solidFill>
              <a:latin typeface="+mn-lt"/>
              <a:ea typeface="+mn-ea"/>
              <a:cs typeface="+mn-cs"/>
            </a:rPr>
            <a:t> FINANCE ANALYSIS</a:t>
          </a:r>
          <a:endParaRPr lang="en-IN" sz="2400" b="0">
            <a:solidFill>
              <a:schemeClr val="accent5">
                <a:lumMod val="50000"/>
              </a:schemeClr>
            </a:solidFill>
            <a:latin typeface="+mn-lt"/>
            <a:ea typeface="+mn-ea"/>
            <a:cs typeface="+mn-cs"/>
          </a:endParaRPr>
        </a:p>
      </xdr:txBody>
    </xdr:sp>
    <xdr:clientData/>
  </xdr:twoCellAnchor>
  <xdr:twoCellAnchor editAs="oneCell">
    <xdr:from>
      <xdr:col>7</xdr:col>
      <xdr:colOff>327706</xdr:colOff>
      <xdr:row>2</xdr:row>
      <xdr:rowOff>46867</xdr:rowOff>
    </xdr:from>
    <xdr:to>
      <xdr:col>7</xdr:col>
      <xdr:colOff>580073</xdr:colOff>
      <xdr:row>4</xdr:row>
      <xdr:rowOff>38095</xdr:rowOff>
    </xdr:to>
    <xdr:pic>
      <xdr:nvPicPr>
        <xdr:cNvPr id="30" name="Graphic 29" descr="Scales of justice with solid fill">
          <a:extLst>
            <a:ext uri="{FF2B5EF4-FFF2-40B4-BE49-F238E27FC236}">
              <a16:creationId xmlns:a16="http://schemas.microsoft.com/office/drawing/2014/main" id="{00000000-0008-0000-02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205742" y="411538"/>
          <a:ext cx="252367" cy="241600"/>
        </a:xfrm>
        <a:prstGeom prst="rect">
          <a:avLst/>
        </a:prstGeom>
      </xdr:spPr>
    </xdr:pic>
    <xdr:clientData/>
  </xdr:twoCellAnchor>
  <xdr:twoCellAnchor editAs="absolute">
    <xdr:from>
      <xdr:col>2</xdr:col>
      <xdr:colOff>298676</xdr:colOff>
      <xdr:row>6</xdr:row>
      <xdr:rowOff>11043</xdr:rowOff>
    </xdr:from>
    <xdr:to>
      <xdr:col>13</xdr:col>
      <xdr:colOff>534761</xdr:colOff>
      <xdr:row>17</xdr:row>
      <xdr:rowOff>55216</xdr:rowOff>
    </xdr:to>
    <xdr:sp macro="" textlink="">
      <xdr:nvSpPr>
        <xdr:cNvPr id="5" name="Rectangle: Rounded Corners 4">
          <a:extLst>
            <a:ext uri="{FF2B5EF4-FFF2-40B4-BE49-F238E27FC236}">
              <a16:creationId xmlns:a16="http://schemas.microsoft.com/office/drawing/2014/main" id="{00000000-0008-0000-0200-000005000000}"/>
            </a:ext>
          </a:extLst>
        </xdr:cNvPr>
        <xdr:cNvSpPr/>
      </xdr:nvSpPr>
      <xdr:spPr>
        <a:xfrm>
          <a:off x="917111" y="1016000"/>
          <a:ext cx="7160346" cy="2109303"/>
        </a:xfrm>
        <a:prstGeom prst="roundRect">
          <a:avLst>
            <a:gd name="adj" fmla="val 10412"/>
          </a:avLst>
        </a:prstGeom>
        <a:solidFill>
          <a:schemeClr val="bg1"/>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19508</xdr:colOff>
      <xdr:row>0</xdr:row>
      <xdr:rowOff>151026</xdr:rowOff>
    </xdr:from>
    <xdr:to>
      <xdr:col>21</xdr:col>
      <xdr:colOff>27707</xdr:colOff>
      <xdr:row>5</xdr:row>
      <xdr:rowOff>110089</xdr:rowOff>
    </xdr:to>
    <xdr:grpSp>
      <xdr:nvGrpSpPr>
        <xdr:cNvPr id="75" name="Group 74">
          <a:extLst>
            <a:ext uri="{FF2B5EF4-FFF2-40B4-BE49-F238E27FC236}">
              <a16:creationId xmlns:a16="http://schemas.microsoft.com/office/drawing/2014/main" id="{00000000-0008-0000-0200-00004B000000}"/>
            </a:ext>
          </a:extLst>
        </xdr:cNvPr>
        <xdr:cNvGrpSpPr/>
      </xdr:nvGrpSpPr>
      <xdr:grpSpPr>
        <a:xfrm>
          <a:off x="9804030" y="151026"/>
          <a:ext cx="2526112" cy="776280"/>
          <a:chOff x="10450772" y="151026"/>
          <a:chExt cx="2598972" cy="756442"/>
        </a:xfrm>
      </xdr:grpSpPr>
      <xdr:sp macro=""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10450772" y="243833"/>
            <a:ext cx="980029" cy="269118"/>
          </a:xfrm>
          <a:prstGeom prst="roundRect">
            <a:avLst/>
          </a:prstGeom>
          <a:solidFill>
            <a:schemeClr val="accent5">
              <a:lumMod val="50000"/>
            </a:schemeClr>
          </a:solidFill>
          <a:ln w="2877" cap="flat">
            <a:noFill/>
            <a:prstDash val="solid"/>
            <a:miter/>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Start date</a:t>
            </a:r>
          </a:p>
        </xdr:txBody>
      </xdr:sp>
      <xdr:grpSp>
        <xdr:nvGrpSpPr>
          <xdr:cNvPr id="19" name="Group 18">
            <a:extLst>
              <a:ext uri="{FF2B5EF4-FFF2-40B4-BE49-F238E27FC236}">
                <a16:creationId xmlns:a16="http://schemas.microsoft.com/office/drawing/2014/main" id="{00000000-0008-0000-0200-000013000000}"/>
              </a:ext>
            </a:extLst>
          </xdr:cNvPr>
          <xdr:cNvGrpSpPr/>
        </xdr:nvGrpSpPr>
        <xdr:grpSpPr>
          <a:xfrm>
            <a:off x="11546682" y="276092"/>
            <a:ext cx="224029" cy="212745"/>
            <a:chOff x="7023434" y="248150"/>
            <a:chExt cx="157414" cy="187994"/>
          </a:xfrm>
        </xdr:grpSpPr>
        <xdr:cxnSp macro="">
          <xdr:nvCxnSpPr>
            <xdr:cNvPr id="17" name="Straight Connector 16">
              <a:extLst>
                <a:ext uri="{FF2B5EF4-FFF2-40B4-BE49-F238E27FC236}">
                  <a16:creationId xmlns:a16="http://schemas.microsoft.com/office/drawing/2014/main" id="{00000000-0008-0000-0200-000011000000}"/>
                </a:ext>
              </a:extLst>
            </xdr:cNvPr>
            <xdr:cNvCxnSpPr/>
          </xdr:nvCxnSpPr>
          <xdr:spPr>
            <a:xfrm flipH="1">
              <a:off x="7023434" y="248150"/>
              <a:ext cx="2507" cy="187994"/>
            </a:xfrm>
            <a:prstGeom prst="line">
              <a:avLst/>
            </a:prstGeom>
            <a:ln>
              <a:solidFill>
                <a:schemeClr val="accent5">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00000000-0008-0000-0200-000012000000}"/>
                </a:ext>
              </a:extLst>
            </xdr:cNvPr>
            <xdr:cNvCxnSpPr/>
          </xdr:nvCxnSpPr>
          <xdr:spPr>
            <a:xfrm flipH="1">
              <a:off x="7178341" y="248150"/>
              <a:ext cx="2507" cy="187994"/>
            </a:xfrm>
            <a:prstGeom prst="line">
              <a:avLst/>
            </a:prstGeom>
            <a:ln>
              <a:solidFill>
                <a:schemeClr val="accent5">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Analysis!D5">
        <xdr:nvSpPr>
          <xdr:cNvPr id="23" name="TextBox 22">
            <a:extLst>
              <a:ext uri="{FF2B5EF4-FFF2-40B4-BE49-F238E27FC236}">
                <a16:creationId xmlns:a16="http://schemas.microsoft.com/office/drawing/2014/main" id="{00000000-0008-0000-0200-000017000000}"/>
              </a:ext>
            </a:extLst>
          </xdr:cNvPr>
          <xdr:cNvSpPr txBox="1"/>
        </xdr:nvSpPr>
        <xdr:spPr>
          <a:xfrm>
            <a:off x="11791903" y="151026"/>
            <a:ext cx="1121770" cy="442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3EA0876-5A20-4F32-AEBD-0086AC707390}" type="TxLink">
              <a:rPr lang="en-US" sz="1400" b="0" i="0" u="none" strike="noStrike">
                <a:solidFill>
                  <a:schemeClr val="accent5">
                    <a:lumMod val="50000"/>
                  </a:schemeClr>
                </a:solidFill>
                <a:latin typeface="Calibri"/>
                <a:ea typeface="+mn-ea"/>
                <a:cs typeface="Calibri"/>
              </a:rPr>
              <a:pPr algn="l"/>
              <a:t>2022-01-04</a:t>
            </a:fld>
            <a:endParaRPr lang="en-US" sz="1800" b="1">
              <a:solidFill>
                <a:schemeClr val="accent5">
                  <a:lumMod val="50000"/>
                </a:schemeClr>
              </a:solidFill>
              <a:ea typeface="+mn-ea"/>
            </a:endParaRPr>
          </a:p>
        </xdr:txBody>
      </xdr:sp>
      <xdr:sp macro="" textlink="Analysis!D6">
        <xdr:nvSpPr>
          <xdr:cNvPr id="24" name="TextBox 23">
            <a:extLst>
              <a:ext uri="{FF2B5EF4-FFF2-40B4-BE49-F238E27FC236}">
                <a16:creationId xmlns:a16="http://schemas.microsoft.com/office/drawing/2014/main" id="{00000000-0008-0000-0200-000018000000}"/>
              </a:ext>
            </a:extLst>
          </xdr:cNvPr>
          <xdr:cNvSpPr txBox="1"/>
        </xdr:nvSpPr>
        <xdr:spPr>
          <a:xfrm>
            <a:off x="11789718" y="465235"/>
            <a:ext cx="1260026" cy="442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59443F3-3AB9-4296-A36C-AF3E084BD71D}" type="TxLink">
              <a:rPr lang="en-US" sz="1400" b="0" i="0" u="none" strike="noStrike">
                <a:solidFill>
                  <a:schemeClr val="accent5">
                    <a:lumMod val="50000"/>
                  </a:schemeClr>
                </a:solidFill>
                <a:latin typeface="Calibri"/>
                <a:ea typeface="+mn-ea"/>
                <a:cs typeface="Calibri"/>
              </a:rPr>
              <a:pPr algn="l"/>
              <a:t>2022-07-31</a:t>
            </a:fld>
            <a:endParaRPr lang="en-US" sz="1800" b="1">
              <a:solidFill>
                <a:schemeClr val="accent5">
                  <a:lumMod val="50000"/>
                </a:schemeClr>
              </a:solidFill>
              <a:ea typeface="+mn-ea"/>
            </a:endParaRPr>
          </a:p>
        </xdr:txBody>
      </xdr:sp>
      <xdr:pic>
        <xdr:nvPicPr>
          <xdr:cNvPr id="26" name="Graphic 25" descr="Stopwatch with solid fill">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1569201" y="289661"/>
            <a:ext cx="180749" cy="176893"/>
          </a:xfrm>
          <a:prstGeom prst="rect">
            <a:avLst/>
          </a:prstGeom>
        </xdr:spPr>
      </xdr:pic>
      <xdr:pic>
        <xdr:nvPicPr>
          <xdr:cNvPr id="27" name="Graphic 26" descr="Alarm clock">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1555186" y="586185"/>
            <a:ext cx="203963" cy="199701"/>
          </a:xfrm>
          <a:prstGeom prst="rect">
            <a:avLst/>
          </a:prstGeom>
        </xdr:spPr>
      </xdr:pic>
      <xdr:sp macro="" textlink="">
        <xdr:nvSpPr>
          <xdr:cNvPr id="35" name="Rectangle: Rounded Corners 34">
            <a:extLst>
              <a:ext uri="{FF2B5EF4-FFF2-40B4-BE49-F238E27FC236}">
                <a16:creationId xmlns:a16="http://schemas.microsoft.com/office/drawing/2014/main" id="{00000000-0008-0000-0200-000023000000}"/>
              </a:ext>
            </a:extLst>
          </xdr:cNvPr>
          <xdr:cNvSpPr/>
        </xdr:nvSpPr>
        <xdr:spPr>
          <a:xfrm>
            <a:off x="10461164" y="564070"/>
            <a:ext cx="980029" cy="269511"/>
          </a:xfrm>
          <a:prstGeom prst="roundRect">
            <a:avLst/>
          </a:prstGeom>
          <a:solidFill>
            <a:schemeClr val="accent5">
              <a:lumMod val="50000"/>
            </a:schemeClr>
          </a:solidFill>
          <a:ln w="2877" cap="flat">
            <a:noFill/>
            <a:prstDash val="solid"/>
            <a:miter/>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End date</a:t>
            </a:r>
          </a:p>
        </xdr:txBody>
      </xdr:sp>
      <xdr:grpSp>
        <xdr:nvGrpSpPr>
          <xdr:cNvPr id="36" name="Group 35">
            <a:extLst>
              <a:ext uri="{FF2B5EF4-FFF2-40B4-BE49-F238E27FC236}">
                <a16:creationId xmlns:a16="http://schemas.microsoft.com/office/drawing/2014/main" id="{00000000-0008-0000-0200-000024000000}"/>
              </a:ext>
            </a:extLst>
          </xdr:cNvPr>
          <xdr:cNvGrpSpPr/>
        </xdr:nvGrpSpPr>
        <xdr:grpSpPr>
          <a:xfrm>
            <a:off x="11544277" y="585654"/>
            <a:ext cx="224027" cy="214447"/>
            <a:chOff x="7023435" y="248150"/>
            <a:chExt cx="157413" cy="187995"/>
          </a:xfrm>
        </xdr:grpSpPr>
        <xdr:cxnSp macro="">
          <xdr:nvCxnSpPr>
            <xdr:cNvPr id="37" name="Straight Connector 36">
              <a:extLst>
                <a:ext uri="{FF2B5EF4-FFF2-40B4-BE49-F238E27FC236}">
                  <a16:creationId xmlns:a16="http://schemas.microsoft.com/office/drawing/2014/main" id="{00000000-0008-0000-0200-000025000000}"/>
                </a:ext>
              </a:extLst>
            </xdr:cNvPr>
            <xdr:cNvCxnSpPr/>
          </xdr:nvCxnSpPr>
          <xdr:spPr>
            <a:xfrm flipH="1">
              <a:off x="7023435" y="248151"/>
              <a:ext cx="2507" cy="187994"/>
            </a:xfrm>
            <a:prstGeom prst="line">
              <a:avLst/>
            </a:prstGeom>
            <a:ln>
              <a:solidFill>
                <a:schemeClr val="accent5">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00000000-0008-0000-0200-000026000000}"/>
                </a:ext>
              </a:extLst>
            </xdr:cNvPr>
            <xdr:cNvCxnSpPr/>
          </xdr:nvCxnSpPr>
          <xdr:spPr>
            <a:xfrm flipH="1">
              <a:off x="7178341" y="248150"/>
              <a:ext cx="2507" cy="187994"/>
            </a:xfrm>
            <a:prstGeom prst="line">
              <a:avLst/>
            </a:prstGeom>
            <a:ln>
              <a:solidFill>
                <a:schemeClr val="accent5">
                  <a:lumMod val="50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2</xdr:col>
      <xdr:colOff>530087</xdr:colOff>
      <xdr:row>6</xdr:row>
      <xdr:rowOff>132520</xdr:rowOff>
    </xdr:from>
    <xdr:to>
      <xdr:col>13</xdr:col>
      <xdr:colOff>309217</xdr:colOff>
      <xdr:row>16</xdr:row>
      <xdr:rowOff>113658</xdr:rowOff>
    </xdr:to>
    <mc:AlternateContent xmlns:mc="http://schemas.openxmlformats.org/markup-compatibility/2006">
      <mc:Choice xmlns:cx4="http://schemas.microsoft.com/office/drawing/2016/5/10/chartex" Requires="cx4">
        <xdr:graphicFrame macro="">
          <xdr:nvGraphicFramePr>
            <xdr:cNvPr id="39" name="Chart 38">
              <a:extLst>
                <a:ext uri="{FF2B5EF4-FFF2-40B4-BE49-F238E27FC236}">
                  <a16:creationId xmlns:a16="http://schemas.microsoft.com/office/drawing/2014/main" id="{00000000-0008-0000-0200-00002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148522" y="1137477"/>
              <a:ext cx="6703391" cy="1858529"/>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83601</xdr:colOff>
      <xdr:row>6</xdr:row>
      <xdr:rowOff>8739</xdr:rowOff>
    </xdr:from>
    <xdr:to>
      <xdr:col>5</xdr:col>
      <xdr:colOff>359971</xdr:colOff>
      <xdr:row>8</xdr:row>
      <xdr:rowOff>88403</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721776" y="980289"/>
          <a:ext cx="2219470" cy="441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accent5">
                  <a:lumMod val="50000"/>
                </a:schemeClr>
              </a:solidFill>
              <a:latin typeface="+mn-lt"/>
              <a:ea typeface="+mn-ea"/>
              <a:cs typeface="+mn-cs"/>
            </a:rPr>
            <a:t>Expenses by categories</a:t>
          </a:r>
        </a:p>
      </xdr:txBody>
    </xdr:sp>
    <xdr:clientData/>
  </xdr:twoCellAnchor>
  <xdr:twoCellAnchor editAs="absolute">
    <xdr:from>
      <xdr:col>17</xdr:col>
      <xdr:colOff>367392</xdr:colOff>
      <xdr:row>6</xdr:row>
      <xdr:rowOff>46</xdr:rowOff>
    </xdr:from>
    <xdr:to>
      <xdr:col>21</xdr:col>
      <xdr:colOff>386194</xdr:colOff>
      <xdr:row>35</xdr:row>
      <xdr:rowOff>168852</xdr:rowOff>
    </xdr:to>
    <xdr:sp macro="" textlink="">
      <xdr:nvSpPr>
        <xdr:cNvPr id="41" name="Rectangle: Rounded Corners 40">
          <a:extLst>
            <a:ext uri="{FF2B5EF4-FFF2-40B4-BE49-F238E27FC236}">
              <a16:creationId xmlns:a16="http://schemas.microsoft.com/office/drawing/2014/main" id="{00000000-0008-0000-0200-000029000000}"/>
            </a:ext>
          </a:extLst>
        </xdr:cNvPr>
        <xdr:cNvSpPr/>
      </xdr:nvSpPr>
      <xdr:spPr>
        <a:xfrm>
          <a:off x="10151914" y="1005003"/>
          <a:ext cx="2536715" cy="5524892"/>
        </a:xfrm>
        <a:prstGeom prst="roundRect">
          <a:avLst>
            <a:gd name="adj" fmla="val 10412"/>
          </a:avLst>
        </a:prstGeom>
        <a:solidFill>
          <a:sysClr val="window" lastClr="FFFFFF"/>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14</xdr:col>
      <xdr:colOff>341</xdr:colOff>
      <xdr:row>6</xdr:row>
      <xdr:rowOff>6850</xdr:rowOff>
    </xdr:from>
    <xdr:to>
      <xdr:col>17</xdr:col>
      <xdr:colOff>255334</xdr:colOff>
      <xdr:row>16</xdr:row>
      <xdr:rowOff>163286</xdr:rowOff>
    </xdr:to>
    <xdr:sp macro="" textlink="">
      <xdr:nvSpPr>
        <xdr:cNvPr id="42" name="Rectangle: Rounded Corners 41">
          <a:extLst>
            <a:ext uri="{FF2B5EF4-FFF2-40B4-BE49-F238E27FC236}">
              <a16:creationId xmlns:a16="http://schemas.microsoft.com/office/drawing/2014/main" id="{00000000-0008-0000-0200-00002A000000}"/>
            </a:ext>
          </a:extLst>
        </xdr:cNvPr>
        <xdr:cNvSpPr/>
      </xdr:nvSpPr>
      <xdr:spPr>
        <a:xfrm>
          <a:off x="8434296" y="985328"/>
          <a:ext cx="1926198" cy="1974845"/>
        </a:xfrm>
        <a:prstGeom prst="roundRect">
          <a:avLst>
            <a:gd name="adj" fmla="val 10412"/>
          </a:avLst>
        </a:prstGeom>
        <a:solidFill>
          <a:sysClr val="window" lastClr="FFFFFF"/>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376140</xdr:colOff>
      <xdr:row>6</xdr:row>
      <xdr:rowOff>173614</xdr:rowOff>
    </xdr:from>
    <xdr:to>
      <xdr:col>17</xdr:col>
      <xdr:colOff>638858</xdr:colOff>
      <xdr:row>17</xdr:row>
      <xdr:rowOff>12423</xdr:rowOff>
    </xdr:to>
    <xdr:graphicFrame macro="">
      <xdr:nvGraphicFramePr>
        <xdr:cNvPr id="43" name="Chart 42">
          <a:extLst>
            <a:ext uri="{FF2B5EF4-FFF2-40B4-BE49-F238E27FC236}">
              <a16:creationId xmlns:a16="http://schemas.microsoft.com/office/drawing/2014/main" id="{00000000-0008-0000-02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30359</xdr:colOff>
      <xdr:row>5</xdr:row>
      <xdr:rowOff>43357</xdr:rowOff>
    </xdr:from>
    <xdr:to>
      <xdr:col>17</xdr:col>
      <xdr:colOff>222982</xdr:colOff>
      <xdr:row>8</xdr:row>
      <xdr:rowOff>126903</xdr:rowOff>
    </xdr:to>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8420642" y="838487"/>
          <a:ext cx="1861569" cy="630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accent5">
                  <a:lumMod val="50000"/>
                </a:schemeClr>
              </a:solidFill>
              <a:latin typeface="+mn-lt"/>
              <a:ea typeface="+mn-ea"/>
              <a:cs typeface="+mn-cs"/>
            </a:rPr>
            <a:t>Top  5 expenses out-flow</a:t>
          </a:r>
        </a:p>
      </xdr:txBody>
    </xdr:sp>
    <xdr:clientData/>
  </xdr:twoCellAnchor>
  <xdr:twoCellAnchor editAs="absolute">
    <xdr:from>
      <xdr:col>2</xdr:col>
      <xdr:colOff>288906</xdr:colOff>
      <xdr:row>17</xdr:row>
      <xdr:rowOff>101275</xdr:rowOff>
    </xdr:from>
    <xdr:to>
      <xdr:col>5</xdr:col>
      <xdr:colOff>377495</xdr:colOff>
      <xdr:row>29</xdr:row>
      <xdr:rowOff>32971</xdr:rowOff>
    </xdr:to>
    <xdr:sp macro="" textlink="">
      <xdr:nvSpPr>
        <xdr:cNvPr id="45" name="Rectangle: Rounded Corners 44">
          <a:extLst>
            <a:ext uri="{FF2B5EF4-FFF2-40B4-BE49-F238E27FC236}">
              <a16:creationId xmlns:a16="http://schemas.microsoft.com/office/drawing/2014/main" id="{00000000-0008-0000-0200-00002D000000}"/>
            </a:ext>
          </a:extLst>
        </xdr:cNvPr>
        <xdr:cNvSpPr/>
      </xdr:nvSpPr>
      <xdr:spPr>
        <a:xfrm>
          <a:off x="907341" y="3171362"/>
          <a:ext cx="1977024" cy="2096218"/>
        </a:xfrm>
        <a:prstGeom prst="roundRect">
          <a:avLst>
            <a:gd name="adj" fmla="val 10412"/>
          </a:avLst>
        </a:prstGeom>
        <a:solidFill>
          <a:schemeClr val="bg1"/>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noFill/>
          </a:endParaRPr>
        </a:p>
      </xdr:txBody>
    </xdr:sp>
    <xdr:clientData/>
  </xdr:twoCellAnchor>
  <xdr:twoCellAnchor editAs="absolute">
    <xdr:from>
      <xdr:col>0</xdr:col>
      <xdr:colOff>0</xdr:colOff>
      <xdr:row>29</xdr:row>
      <xdr:rowOff>77607</xdr:rowOff>
    </xdr:from>
    <xdr:to>
      <xdr:col>0</xdr:col>
      <xdr:colOff>0</xdr:colOff>
      <xdr:row>40</xdr:row>
      <xdr:rowOff>73144</xdr:rowOff>
    </xdr:to>
    <xdr:sp macro="" textlink="">
      <xdr:nvSpPr>
        <xdr:cNvPr id="46" name="Rectangle: Rounded Corners 45">
          <a:extLst>
            <a:ext uri="{FF2B5EF4-FFF2-40B4-BE49-F238E27FC236}">
              <a16:creationId xmlns:a16="http://schemas.microsoft.com/office/drawing/2014/main" id="{00000000-0008-0000-0200-00002E000000}"/>
            </a:ext>
          </a:extLst>
        </xdr:cNvPr>
        <xdr:cNvSpPr/>
      </xdr:nvSpPr>
      <xdr:spPr>
        <a:xfrm>
          <a:off x="0" y="5429299"/>
          <a:ext cx="0" cy="2066544"/>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496661</xdr:colOff>
      <xdr:row>17</xdr:row>
      <xdr:rowOff>102809</xdr:rowOff>
    </xdr:from>
    <xdr:to>
      <xdr:col>9</xdr:col>
      <xdr:colOff>336212</xdr:colOff>
      <xdr:row>29</xdr:row>
      <xdr:rowOff>33793</xdr:rowOff>
    </xdr:to>
    <xdr:sp macro="" textlink="">
      <xdr:nvSpPr>
        <xdr:cNvPr id="47" name="Rectangle: Rounded Corners 46">
          <a:extLst>
            <a:ext uri="{FF2B5EF4-FFF2-40B4-BE49-F238E27FC236}">
              <a16:creationId xmlns:a16="http://schemas.microsoft.com/office/drawing/2014/main" id="{00000000-0008-0000-0200-00002F000000}"/>
            </a:ext>
          </a:extLst>
        </xdr:cNvPr>
        <xdr:cNvSpPr/>
      </xdr:nvSpPr>
      <xdr:spPr>
        <a:xfrm>
          <a:off x="3074980" y="3058843"/>
          <a:ext cx="2427724" cy="2023200"/>
        </a:xfrm>
        <a:prstGeom prst="roundRect">
          <a:avLst>
            <a:gd name="adj" fmla="val 10412"/>
          </a:avLst>
        </a:prstGeom>
        <a:solidFill>
          <a:sysClr val="window" lastClr="FFFFFF"/>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editAs="absolute">
    <xdr:from>
      <xdr:col>9</xdr:col>
      <xdr:colOff>464126</xdr:colOff>
      <xdr:row>17</xdr:row>
      <xdr:rowOff>94703</xdr:rowOff>
    </xdr:from>
    <xdr:to>
      <xdr:col>17</xdr:col>
      <xdr:colOff>257734</xdr:colOff>
      <xdr:row>29</xdr:row>
      <xdr:rowOff>21824</xdr:rowOff>
    </xdr:to>
    <xdr:sp macro="" textlink="">
      <xdr:nvSpPr>
        <xdr:cNvPr id="48" name="Rectangle: Rounded Corners 47">
          <a:extLst>
            <a:ext uri="{FF2B5EF4-FFF2-40B4-BE49-F238E27FC236}">
              <a16:creationId xmlns:a16="http://schemas.microsoft.com/office/drawing/2014/main" id="{00000000-0008-0000-0200-000030000000}"/>
            </a:ext>
          </a:extLst>
        </xdr:cNvPr>
        <xdr:cNvSpPr/>
      </xdr:nvSpPr>
      <xdr:spPr>
        <a:xfrm>
          <a:off x="5636201" y="3056978"/>
          <a:ext cx="4703746" cy="2022621"/>
        </a:xfrm>
        <a:prstGeom prst="roundRect">
          <a:avLst>
            <a:gd name="adj" fmla="val 10412"/>
          </a:avLst>
        </a:prstGeom>
        <a:solidFill>
          <a:schemeClr val="bg1"/>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1</xdr:col>
      <xdr:colOff>16839</xdr:colOff>
      <xdr:row>17</xdr:row>
      <xdr:rowOff>173494</xdr:rowOff>
    </xdr:from>
    <xdr:to>
      <xdr:col>5</xdr:col>
      <xdr:colOff>275371</xdr:colOff>
      <xdr:row>29</xdr:row>
      <xdr:rowOff>63649</xdr:rowOff>
    </xdr:to>
    <xdr:graphicFrame macro="">
      <xdr:nvGraphicFramePr>
        <xdr:cNvPr id="49" name="Chart 48">
          <a:extLst>
            <a:ext uri="{FF2B5EF4-FFF2-40B4-BE49-F238E27FC236}">
              <a16:creationId xmlns:a16="http://schemas.microsoft.com/office/drawing/2014/main" id="{00000000-0008-0000-02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150299</xdr:colOff>
      <xdr:row>20</xdr:row>
      <xdr:rowOff>92153</xdr:rowOff>
    </xdr:from>
    <xdr:to>
      <xdr:col>5</xdr:col>
      <xdr:colOff>357260</xdr:colOff>
      <xdr:row>26</xdr:row>
      <xdr:rowOff>125058</xdr:rowOff>
    </xdr:to>
    <xdr:grpSp>
      <xdr:nvGrpSpPr>
        <xdr:cNvPr id="77" name="Group 76">
          <a:extLst>
            <a:ext uri="{FF2B5EF4-FFF2-40B4-BE49-F238E27FC236}">
              <a16:creationId xmlns:a16="http://schemas.microsoft.com/office/drawing/2014/main" id="{00000000-0008-0000-0200-00004D000000}"/>
            </a:ext>
          </a:extLst>
        </xdr:cNvPr>
        <xdr:cNvGrpSpPr/>
      </xdr:nvGrpSpPr>
      <xdr:grpSpPr>
        <a:xfrm>
          <a:off x="2027690" y="3725457"/>
          <a:ext cx="836440" cy="1159340"/>
          <a:chOff x="2108730" y="3445249"/>
          <a:chExt cx="855126" cy="1120149"/>
        </a:xfrm>
      </xdr:grpSpPr>
      <xdr:sp macro="" textlink="">
        <xdr:nvSpPr>
          <xdr:cNvPr id="51" name="Oval 50">
            <a:extLst>
              <a:ext uri="{FF2B5EF4-FFF2-40B4-BE49-F238E27FC236}">
                <a16:creationId xmlns:a16="http://schemas.microsoft.com/office/drawing/2014/main" id="{00000000-0008-0000-0200-000033000000}"/>
              </a:ext>
            </a:extLst>
          </xdr:cNvPr>
          <xdr:cNvSpPr/>
        </xdr:nvSpPr>
        <xdr:spPr>
          <a:xfrm>
            <a:off x="2110305" y="3602399"/>
            <a:ext cx="135711" cy="130866"/>
          </a:xfrm>
          <a:prstGeom prst="ellipse">
            <a:avLst/>
          </a:prstGeom>
          <a:solidFill>
            <a:srgbClr val="4A61EE"/>
          </a:solidFill>
          <a:ln>
            <a:solidFill>
              <a:srgbClr val="4A61E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grpSp>
        <xdr:nvGrpSpPr>
          <xdr:cNvPr id="76" name="Group 75">
            <a:extLst>
              <a:ext uri="{FF2B5EF4-FFF2-40B4-BE49-F238E27FC236}">
                <a16:creationId xmlns:a16="http://schemas.microsoft.com/office/drawing/2014/main" id="{00000000-0008-0000-0200-00004C000000}"/>
              </a:ext>
            </a:extLst>
          </xdr:cNvPr>
          <xdr:cNvGrpSpPr/>
        </xdr:nvGrpSpPr>
        <xdr:grpSpPr>
          <a:xfrm>
            <a:off x="2108730" y="3445249"/>
            <a:ext cx="855126" cy="1120149"/>
            <a:chOff x="2108730" y="3445249"/>
            <a:chExt cx="855126" cy="1120149"/>
          </a:xfrm>
        </xdr:grpSpPr>
        <xdr:sp macro="" textlink="">
          <xdr:nvSpPr>
            <xdr:cNvPr id="52" name="Oval 51">
              <a:extLst>
                <a:ext uri="{FF2B5EF4-FFF2-40B4-BE49-F238E27FC236}">
                  <a16:creationId xmlns:a16="http://schemas.microsoft.com/office/drawing/2014/main" id="{00000000-0008-0000-0200-000034000000}"/>
                </a:ext>
              </a:extLst>
            </xdr:cNvPr>
            <xdr:cNvSpPr/>
          </xdr:nvSpPr>
          <xdr:spPr>
            <a:xfrm>
              <a:off x="2108730" y="3940323"/>
              <a:ext cx="135711" cy="130864"/>
            </a:xfrm>
            <a:prstGeom prst="ellipse">
              <a:avLst/>
            </a:prstGeom>
            <a:solidFill>
              <a:schemeClr val="bg1">
                <a:lumMod val="6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
          <xdr:nvSpPr>
            <xdr:cNvPr id="53" name="Oval 52">
              <a:extLst>
                <a:ext uri="{FF2B5EF4-FFF2-40B4-BE49-F238E27FC236}">
                  <a16:creationId xmlns:a16="http://schemas.microsoft.com/office/drawing/2014/main" id="{00000000-0008-0000-0200-000035000000}"/>
                </a:ext>
              </a:extLst>
            </xdr:cNvPr>
            <xdr:cNvSpPr/>
          </xdr:nvSpPr>
          <xdr:spPr>
            <a:xfrm>
              <a:off x="2110380" y="4277529"/>
              <a:ext cx="135711" cy="135657"/>
            </a:xfrm>
            <a:prstGeom prst="ellipse">
              <a:avLst/>
            </a:prstGeom>
            <a:solidFill>
              <a:srgbClr val="FF7979"/>
            </a:solidFill>
            <a:ln>
              <a:solidFill>
                <a:srgbClr val="FF797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
          <xdr:nvSpPr>
            <xdr:cNvPr id="55" name="TextBox 54">
              <a:extLst>
                <a:ext uri="{FF2B5EF4-FFF2-40B4-BE49-F238E27FC236}">
                  <a16:creationId xmlns:a16="http://schemas.microsoft.com/office/drawing/2014/main" id="{00000000-0008-0000-0200-000037000000}"/>
                </a:ext>
              </a:extLst>
            </xdr:cNvPr>
            <xdr:cNvSpPr txBox="1"/>
          </xdr:nvSpPr>
          <xdr:spPr>
            <a:xfrm>
              <a:off x="2218935" y="3445249"/>
              <a:ext cx="743415" cy="4379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tx1"/>
                  </a:solidFill>
                  <a:latin typeface="+mn-lt"/>
                  <a:ea typeface="+mn-ea"/>
                  <a:cs typeface="+mn-cs"/>
                </a:rPr>
                <a:t>Amount</a:t>
              </a:r>
              <a:r>
                <a:rPr lang="en-IN" sz="900" b="0" baseline="0">
                  <a:solidFill>
                    <a:schemeClr val="tx1"/>
                  </a:solidFill>
                  <a:latin typeface="+mn-lt"/>
                  <a:ea typeface="+mn-ea"/>
                  <a:cs typeface="+mn-cs"/>
                </a:rPr>
                <a:t> left</a:t>
              </a:r>
              <a:endParaRPr lang="en-IN" sz="900" b="0">
                <a:solidFill>
                  <a:schemeClr val="tx1"/>
                </a:solidFill>
                <a:latin typeface="+mn-lt"/>
                <a:ea typeface="+mn-ea"/>
                <a:cs typeface="+mn-cs"/>
              </a:endParaRPr>
            </a:p>
          </xdr:txBody>
        </xdr:sp>
        <xdr:sp macro="" textlink="">
          <xdr:nvSpPr>
            <xdr:cNvPr id="56" name="TextBox 55">
              <a:extLst>
                <a:ext uri="{FF2B5EF4-FFF2-40B4-BE49-F238E27FC236}">
                  <a16:creationId xmlns:a16="http://schemas.microsoft.com/office/drawing/2014/main" id="{00000000-0008-0000-0200-000038000000}"/>
                </a:ext>
              </a:extLst>
            </xdr:cNvPr>
            <xdr:cNvSpPr txBox="1"/>
          </xdr:nvSpPr>
          <xdr:spPr>
            <a:xfrm>
              <a:off x="2218432" y="3783686"/>
              <a:ext cx="743415" cy="439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tx1"/>
                  </a:solidFill>
                  <a:latin typeface="+mn-lt"/>
                  <a:ea typeface="+mn-ea"/>
                  <a:cs typeface="+mn-cs"/>
                </a:rPr>
                <a:t>Credit</a:t>
              </a:r>
            </a:p>
          </xdr:txBody>
        </xdr:sp>
        <xdr:sp macro="" textlink="">
          <xdr:nvSpPr>
            <xdr:cNvPr id="57" name="TextBox 56">
              <a:extLst>
                <a:ext uri="{FF2B5EF4-FFF2-40B4-BE49-F238E27FC236}">
                  <a16:creationId xmlns:a16="http://schemas.microsoft.com/office/drawing/2014/main" id="{00000000-0008-0000-0200-000039000000}"/>
                </a:ext>
              </a:extLst>
            </xdr:cNvPr>
            <xdr:cNvSpPr txBox="1"/>
          </xdr:nvSpPr>
          <xdr:spPr>
            <a:xfrm>
              <a:off x="2220441" y="4125548"/>
              <a:ext cx="743415" cy="439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tx1"/>
                  </a:solidFill>
                  <a:latin typeface="+mn-lt"/>
                  <a:ea typeface="+mn-ea"/>
                  <a:cs typeface="+mn-cs"/>
                </a:rPr>
                <a:t>Debit</a:t>
              </a:r>
            </a:p>
          </xdr:txBody>
        </xdr:sp>
      </xdr:grpSp>
    </xdr:grpSp>
    <xdr:clientData/>
  </xdr:twoCellAnchor>
  <xdr:twoCellAnchor>
    <xdr:from>
      <xdr:col>5</xdr:col>
      <xdr:colOff>413233</xdr:colOff>
      <xdr:row>18</xdr:row>
      <xdr:rowOff>29562</xdr:rowOff>
    </xdr:from>
    <xdr:to>
      <xdr:col>9</xdr:col>
      <xdr:colOff>384288</xdr:colOff>
      <xdr:row>27</xdr:row>
      <xdr:rowOff>50293</xdr:rowOff>
    </xdr:to>
    <xdr:graphicFrame macro="">
      <xdr:nvGraphicFramePr>
        <xdr:cNvPr id="58" name="Chart 57">
          <a:extLst>
            <a:ext uri="{FF2B5EF4-FFF2-40B4-BE49-F238E27FC236}">
              <a16:creationId xmlns:a16="http://schemas.microsoft.com/office/drawing/2014/main" id="{00000000-0008-0000-02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xdr:col>
      <xdr:colOff>465928</xdr:colOff>
      <xdr:row>21</xdr:row>
      <xdr:rowOff>170143</xdr:rowOff>
    </xdr:from>
    <xdr:to>
      <xdr:col>9</xdr:col>
      <xdr:colOff>334602</xdr:colOff>
      <xdr:row>29</xdr:row>
      <xdr:rowOff>65478</xdr:rowOff>
    </xdr:to>
    <xdr:grpSp>
      <xdr:nvGrpSpPr>
        <xdr:cNvPr id="80" name="Group 79">
          <a:extLst>
            <a:ext uri="{FF2B5EF4-FFF2-40B4-BE49-F238E27FC236}">
              <a16:creationId xmlns:a16="http://schemas.microsoft.com/office/drawing/2014/main" id="{00000000-0008-0000-0200-000050000000}"/>
            </a:ext>
          </a:extLst>
        </xdr:cNvPr>
        <xdr:cNvGrpSpPr/>
      </xdr:nvGrpSpPr>
      <xdr:grpSpPr>
        <a:xfrm>
          <a:off x="2972798" y="3991186"/>
          <a:ext cx="2386587" cy="1308901"/>
          <a:chOff x="3062616" y="3538841"/>
          <a:chExt cx="2459474" cy="1265921"/>
        </a:xfrm>
      </xdr:grpSpPr>
      <xdr:sp macro="" textlink="">
        <xdr:nvSpPr>
          <xdr:cNvPr id="59" name="TextBox 58">
            <a:extLst>
              <a:ext uri="{FF2B5EF4-FFF2-40B4-BE49-F238E27FC236}">
                <a16:creationId xmlns:a16="http://schemas.microsoft.com/office/drawing/2014/main" id="{00000000-0008-0000-0200-00003B000000}"/>
              </a:ext>
            </a:extLst>
          </xdr:cNvPr>
          <xdr:cNvSpPr txBox="1"/>
        </xdr:nvSpPr>
        <xdr:spPr>
          <a:xfrm>
            <a:off x="3062616" y="4195317"/>
            <a:ext cx="742643" cy="4790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tx1"/>
                </a:solidFill>
                <a:latin typeface="+mn-lt"/>
                <a:ea typeface="+mn-ea"/>
                <a:cs typeface="+mn-cs"/>
              </a:rPr>
              <a:t>Emcee</a:t>
            </a:r>
          </a:p>
        </xdr:txBody>
      </xdr:sp>
      <xdr:sp macro="" textlink="">
        <xdr:nvSpPr>
          <xdr:cNvPr id="60" name="TextBox 59">
            <a:extLst>
              <a:ext uri="{FF2B5EF4-FFF2-40B4-BE49-F238E27FC236}">
                <a16:creationId xmlns:a16="http://schemas.microsoft.com/office/drawing/2014/main" id="{00000000-0008-0000-0200-00003C000000}"/>
              </a:ext>
            </a:extLst>
          </xdr:cNvPr>
          <xdr:cNvSpPr txBox="1"/>
        </xdr:nvSpPr>
        <xdr:spPr>
          <a:xfrm>
            <a:off x="3583730" y="4219997"/>
            <a:ext cx="742642" cy="43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tx1"/>
                </a:solidFill>
                <a:latin typeface="+mn-lt"/>
                <a:ea typeface="+mn-ea"/>
                <a:cs typeface="+mn-cs"/>
              </a:rPr>
              <a:t>Painting</a:t>
            </a:r>
          </a:p>
        </xdr:txBody>
      </xdr:sp>
      <xdr:sp macro="" textlink="">
        <xdr:nvSpPr>
          <xdr:cNvPr id="61" name="TextBox 60">
            <a:extLst>
              <a:ext uri="{FF2B5EF4-FFF2-40B4-BE49-F238E27FC236}">
                <a16:creationId xmlns:a16="http://schemas.microsoft.com/office/drawing/2014/main" id="{00000000-0008-0000-0200-00003D000000}"/>
              </a:ext>
            </a:extLst>
          </xdr:cNvPr>
          <xdr:cNvSpPr txBox="1"/>
        </xdr:nvSpPr>
        <xdr:spPr>
          <a:xfrm>
            <a:off x="4183098" y="4223997"/>
            <a:ext cx="742645" cy="43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tx1"/>
                </a:solidFill>
                <a:latin typeface="+mn-lt"/>
                <a:ea typeface="+mn-ea"/>
                <a:cs typeface="+mn-cs"/>
              </a:rPr>
              <a:t>Transcribe</a:t>
            </a:r>
          </a:p>
        </xdr:txBody>
      </xdr:sp>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4770913" y="4222460"/>
            <a:ext cx="742640" cy="43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tx1"/>
                </a:solidFill>
                <a:latin typeface="+mn-lt"/>
                <a:ea typeface="+mn-ea"/>
                <a:cs typeface="+mn-cs"/>
              </a:rPr>
              <a:t>Tutoring</a:t>
            </a:r>
          </a:p>
        </xdr:txBody>
      </xdr:sp>
      <xdr:sp macro="" textlink="Analysis!H69">
        <xdr:nvSpPr>
          <xdr:cNvPr id="67" name="TextBox 66">
            <a:extLst>
              <a:ext uri="{FF2B5EF4-FFF2-40B4-BE49-F238E27FC236}">
                <a16:creationId xmlns:a16="http://schemas.microsoft.com/office/drawing/2014/main" id="{00000000-0008-0000-0200-000043000000}"/>
              </a:ext>
            </a:extLst>
          </xdr:cNvPr>
          <xdr:cNvSpPr txBox="1"/>
        </xdr:nvSpPr>
        <xdr:spPr>
          <a:xfrm>
            <a:off x="3583364" y="4343546"/>
            <a:ext cx="742642" cy="439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78C277-3FD6-4F3F-AFCB-4C6E18E617E6}" type="TxLink">
              <a:rPr lang="en-US" sz="900" b="0" i="0" u="none" strike="noStrike">
                <a:solidFill>
                  <a:schemeClr val="tx1"/>
                </a:solidFill>
                <a:latin typeface="Calibri"/>
                <a:ea typeface="+mn-ea"/>
                <a:cs typeface="Calibri"/>
              </a:rPr>
              <a:pPr algn="ctr"/>
              <a:t>₹ 8,140</a:t>
            </a:fld>
            <a:endParaRPr lang="en-IN" sz="600" b="0">
              <a:solidFill>
                <a:schemeClr val="tx1"/>
              </a:solidFill>
              <a:latin typeface="+mn-lt"/>
              <a:ea typeface="+mn-ea"/>
              <a:cs typeface="+mn-cs"/>
            </a:endParaRPr>
          </a:p>
        </xdr:txBody>
      </xdr:sp>
      <xdr:sp macro="" textlink="Analysis!H70">
        <xdr:nvSpPr>
          <xdr:cNvPr id="68" name="TextBox 67">
            <a:extLst>
              <a:ext uri="{FF2B5EF4-FFF2-40B4-BE49-F238E27FC236}">
                <a16:creationId xmlns:a16="http://schemas.microsoft.com/office/drawing/2014/main" id="{00000000-0008-0000-0200-000044000000}"/>
              </a:ext>
            </a:extLst>
          </xdr:cNvPr>
          <xdr:cNvSpPr txBox="1"/>
        </xdr:nvSpPr>
        <xdr:spPr>
          <a:xfrm>
            <a:off x="4183831" y="4344093"/>
            <a:ext cx="740456" cy="439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423EB20-444C-4A11-A875-3BE2C3DEC784}" type="TxLink">
              <a:rPr lang="en-US" sz="900" b="0" i="0" u="none" strike="noStrike">
                <a:solidFill>
                  <a:schemeClr val="tx1"/>
                </a:solidFill>
                <a:latin typeface="Calibri"/>
                <a:ea typeface="+mn-ea"/>
                <a:cs typeface="Calibri"/>
              </a:rPr>
              <a:pPr algn="ctr"/>
              <a:t>₹ 1,800</a:t>
            </a:fld>
            <a:endParaRPr lang="en-IN" sz="600" b="0">
              <a:solidFill>
                <a:schemeClr val="tx1"/>
              </a:solidFill>
              <a:latin typeface="+mn-lt"/>
              <a:ea typeface="+mn-ea"/>
              <a:cs typeface="+mn-cs"/>
            </a:endParaRPr>
          </a:p>
        </xdr:txBody>
      </xdr:sp>
      <xdr:sp macro="" textlink="Analysis!H71">
        <xdr:nvSpPr>
          <xdr:cNvPr id="69" name="TextBox 68">
            <a:extLst>
              <a:ext uri="{FF2B5EF4-FFF2-40B4-BE49-F238E27FC236}">
                <a16:creationId xmlns:a16="http://schemas.microsoft.com/office/drawing/2014/main" id="{00000000-0008-0000-0200-000045000000}"/>
              </a:ext>
            </a:extLst>
          </xdr:cNvPr>
          <xdr:cNvSpPr txBox="1"/>
        </xdr:nvSpPr>
        <xdr:spPr>
          <a:xfrm>
            <a:off x="4779450" y="4345449"/>
            <a:ext cx="742640" cy="439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6D7EF2-0A23-4F91-990D-2E9A6DEFCF20}" type="TxLink">
              <a:rPr lang="en-US" sz="900" b="0" i="0" u="none" strike="noStrike">
                <a:solidFill>
                  <a:schemeClr val="tx1"/>
                </a:solidFill>
                <a:latin typeface="Calibri"/>
                <a:ea typeface="+mn-ea"/>
                <a:cs typeface="Calibri"/>
              </a:rPr>
              <a:pPr algn="ctr"/>
              <a:t>₹ 35,000</a:t>
            </a:fld>
            <a:endParaRPr lang="en-IN" sz="600" b="0">
              <a:solidFill>
                <a:schemeClr val="tx1"/>
              </a:solidFill>
              <a:latin typeface="+mn-lt"/>
              <a:ea typeface="+mn-ea"/>
              <a:cs typeface="+mn-cs"/>
            </a:endParaRPr>
          </a:p>
        </xdr:txBody>
      </xdr:sp>
      <xdr:sp macro="" textlink="Analysis!H68">
        <xdr:nvSpPr>
          <xdr:cNvPr id="70" name="TextBox 69">
            <a:extLst>
              <a:ext uri="{FF2B5EF4-FFF2-40B4-BE49-F238E27FC236}">
                <a16:creationId xmlns:a16="http://schemas.microsoft.com/office/drawing/2014/main" id="{00000000-0008-0000-0200-000046000000}"/>
              </a:ext>
            </a:extLst>
          </xdr:cNvPr>
          <xdr:cNvSpPr txBox="1"/>
        </xdr:nvSpPr>
        <xdr:spPr>
          <a:xfrm>
            <a:off x="3063209" y="4323464"/>
            <a:ext cx="742644" cy="481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2605E15-5999-485A-8FF7-AEFCC3CFA3EC}" type="TxLink">
              <a:rPr lang="en-US" sz="900" b="0" i="0" u="none" strike="noStrike">
                <a:solidFill>
                  <a:schemeClr val="tx1"/>
                </a:solidFill>
                <a:latin typeface="Calibri"/>
                <a:ea typeface="+mn-ea"/>
                <a:cs typeface="Calibri"/>
              </a:rPr>
              <a:pPr algn="ctr"/>
              <a:t>₹ 4,500</a:t>
            </a:fld>
            <a:endParaRPr lang="en-IN" sz="600" b="0">
              <a:solidFill>
                <a:schemeClr val="tx1"/>
              </a:solidFill>
              <a:latin typeface="+mn-lt"/>
              <a:ea typeface="+mn-ea"/>
              <a:cs typeface="+mn-cs"/>
            </a:endParaRPr>
          </a:p>
        </xdr:txBody>
      </xdr:sp>
      <xdr:sp macro="" textlink="">
        <xdr:nvSpPr>
          <xdr:cNvPr id="14" name="Rectangle 13">
            <a:extLst>
              <a:ext uri="{FF2B5EF4-FFF2-40B4-BE49-F238E27FC236}">
                <a16:creationId xmlns:a16="http://schemas.microsoft.com/office/drawing/2014/main" id="{00000000-0008-0000-0200-00000E000000}"/>
              </a:ext>
            </a:extLst>
          </xdr:cNvPr>
          <xdr:cNvSpPr/>
        </xdr:nvSpPr>
        <xdr:spPr>
          <a:xfrm>
            <a:off x="5008260" y="4667703"/>
            <a:ext cx="289777" cy="36065"/>
          </a:xfrm>
          <a:prstGeom prst="rect">
            <a:avLst/>
          </a:prstGeom>
          <a:solidFill>
            <a:srgbClr val="4A61EE"/>
          </a:solidFill>
          <a:ln>
            <a:solidFill>
              <a:srgbClr val="4A61E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
        <xdr:nvSpPr>
          <xdr:cNvPr id="15" name="Rectangle 14">
            <a:extLst>
              <a:ext uri="{FF2B5EF4-FFF2-40B4-BE49-F238E27FC236}">
                <a16:creationId xmlns:a16="http://schemas.microsoft.com/office/drawing/2014/main" id="{00000000-0008-0000-0200-00000F000000}"/>
              </a:ext>
            </a:extLst>
          </xdr:cNvPr>
          <xdr:cNvSpPr/>
        </xdr:nvSpPr>
        <xdr:spPr>
          <a:xfrm>
            <a:off x="3295484" y="4665655"/>
            <a:ext cx="287313" cy="36065"/>
          </a:xfrm>
          <a:prstGeom prst="rect">
            <a:avLst/>
          </a:prstGeom>
          <a:solidFill>
            <a:srgbClr val="FF7979"/>
          </a:solidFill>
          <a:ln>
            <a:solidFill>
              <a:srgbClr val="FF797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
        <xdr:nvSpPr>
          <xdr:cNvPr id="16" name="Rectangle 15">
            <a:extLst>
              <a:ext uri="{FF2B5EF4-FFF2-40B4-BE49-F238E27FC236}">
                <a16:creationId xmlns:a16="http://schemas.microsoft.com/office/drawing/2014/main" id="{00000000-0008-0000-0200-000010000000}"/>
              </a:ext>
            </a:extLst>
          </xdr:cNvPr>
          <xdr:cNvSpPr/>
        </xdr:nvSpPr>
        <xdr:spPr>
          <a:xfrm>
            <a:off x="3812916" y="4667719"/>
            <a:ext cx="289777" cy="36065"/>
          </a:xfrm>
          <a:prstGeom prst="rect">
            <a:avLst/>
          </a:prstGeom>
          <a:solidFill>
            <a:srgbClr val="FFD058"/>
          </a:solidFill>
          <a:ln>
            <a:solidFill>
              <a:srgbClr val="FFD05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
        <xdr:nvSpPr>
          <xdr:cNvPr id="20" name="Rectangle 19">
            <a:extLst>
              <a:ext uri="{FF2B5EF4-FFF2-40B4-BE49-F238E27FC236}">
                <a16:creationId xmlns:a16="http://schemas.microsoft.com/office/drawing/2014/main" id="{00000000-0008-0000-0200-000014000000}"/>
              </a:ext>
            </a:extLst>
          </xdr:cNvPr>
          <xdr:cNvSpPr/>
        </xdr:nvSpPr>
        <xdr:spPr>
          <a:xfrm>
            <a:off x="4418851" y="4665424"/>
            <a:ext cx="289780" cy="36065"/>
          </a:xfrm>
          <a:prstGeom prst="rect">
            <a:avLst/>
          </a:prstGeom>
          <a:solidFill>
            <a:schemeClr val="bg1">
              <a:lumMod val="6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Analysis!H72">
        <xdr:nvSpPr>
          <xdr:cNvPr id="82" name="TextBox 81">
            <a:extLst>
              <a:ext uri="{FF2B5EF4-FFF2-40B4-BE49-F238E27FC236}">
                <a16:creationId xmlns:a16="http://schemas.microsoft.com/office/drawing/2014/main" id="{00000000-0008-0000-0200-000052000000}"/>
              </a:ext>
            </a:extLst>
          </xdr:cNvPr>
          <xdr:cNvSpPr txBox="1"/>
        </xdr:nvSpPr>
        <xdr:spPr>
          <a:xfrm>
            <a:off x="3906507" y="3538841"/>
            <a:ext cx="727373" cy="286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9BCD4F-FA18-4E89-8ABC-D967517283BA}" type="TxLink">
              <a:rPr lang="en-US" sz="1100" b="1" i="0" u="none" strike="noStrike">
                <a:solidFill>
                  <a:schemeClr val="tx1"/>
                </a:solidFill>
                <a:latin typeface="Calibri"/>
                <a:ea typeface="+mn-ea"/>
                <a:cs typeface="Calibri"/>
              </a:rPr>
              <a:pPr algn="ctr"/>
              <a:t>₹ 49,440</a:t>
            </a:fld>
            <a:endParaRPr lang="en-IN" sz="600" b="0">
              <a:solidFill>
                <a:schemeClr val="tx1"/>
              </a:solidFill>
              <a:latin typeface="+mn-lt"/>
              <a:ea typeface="+mn-ea"/>
              <a:cs typeface="+mn-cs"/>
            </a:endParaRPr>
          </a:p>
        </xdr:txBody>
      </xdr:sp>
    </xdr:grpSp>
    <xdr:clientData/>
  </xdr:twoCellAnchor>
  <xdr:twoCellAnchor>
    <xdr:from>
      <xdr:col>3</xdr:col>
      <xdr:colOff>636453</xdr:colOff>
      <xdr:row>17</xdr:row>
      <xdr:rowOff>27411</xdr:rowOff>
    </xdr:from>
    <xdr:to>
      <xdr:col>5</xdr:col>
      <xdr:colOff>418770</xdr:colOff>
      <xdr:row>21</xdr:row>
      <xdr:rowOff>19587</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1922328" y="2965507"/>
          <a:ext cx="1079183" cy="710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accent5">
                  <a:lumMod val="50000"/>
                </a:schemeClr>
              </a:solidFill>
              <a:latin typeface="+mn-lt"/>
              <a:ea typeface="+mn-ea"/>
              <a:cs typeface="+mn-cs"/>
            </a:rPr>
            <a:t>Inflow &amp; Outflow</a:t>
          </a:r>
        </a:p>
      </xdr:txBody>
    </xdr:sp>
    <xdr:clientData/>
  </xdr:twoCellAnchor>
  <xdr:twoCellAnchor>
    <xdr:from>
      <xdr:col>5</xdr:col>
      <xdr:colOff>407469</xdr:colOff>
      <xdr:row>16</xdr:row>
      <xdr:rowOff>93499</xdr:rowOff>
    </xdr:from>
    <xdr:to>
      <xdr:col>9</xdr:col>
      <xdr:colOff>433552</xdr:colOff>
      <xdr:row>20</xdr:row>
      <xdr:rowOff>85677</xdr:rowOff>
    </xdr:to>
    <xdr:sp macro="" textlink="">
      <xdr:nvSpPr>
        <xdr:cNvPr id="78" name="TextBox 77">
          <a:extLst>
            <a:ext uri="{FF2B5EF4-FFF2-40B4-BE49-F238E27FC236}">
              <a16:creationId xmlns:a16="http://schemas.microsoft.com/office/drawing/2014/main" id="{00000000-0008-0000-0200-00004E000000}"/>
            </a:ext>
          </a:extLst>
        </xdr:cNvPr>
        <xdr:cNvSpPr txBox="1"/>
      </xdr:nvSpPr>
      <xdr:spPr>
        <a:xfrm>
          <a:off x="2985788" y="2868887"/>
          <a:ext cx="2614256" cy="714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accent5">
                  <a:lumMod val="50000"/>
                </a:schemeClr>
              </a:solidFill>
              <a:latin typeface="+mn-lt"/>
              <a:ea typeface="+mn-ea"/>
              <a:cs typeface="+mn-cs"/>
            </a:rPr>
            <a:t>Income Sources</a:t>
          </a:r>
        </a:p>
      </xdr:txBody>
    </xdr:sp>
    <xdr:clientData/>
  </xdr:twoCellAnchor>
  <xdr:twoCellAnchor>
    <xdr:from>
      <xdr:col>9</xdr:col>
      <xdr:colOff>475019</xdr:colOff>
      <xdr:row>17</xdr:row>
      <xdr:rowOff>170793</xdr:rowOff>
    </xdr:from>
    <xdr:to>
      <xdr:col>17</xdr:col>
      <xdr:colOff>379770</xdr:colOff>
      <xdr:row>29</xdr:row>
      <xdr:rowOff>32742</xdr:rowOff>
    </xdr:to>
    <xdr:graphicFrame macro="">
      <xdr:nvGraphicFramePr>
        <xdr:cNvPr id="83" name="Chart 82">
          <a:extLst>
            <a:ext uri="{FF2B5EF4-FFF2-40B4-BE49-F238E27FC236}">
              <a16:creationId xmlns:a16="http://schemas.microsoft.com/office/drawing/2014/main" id="{00000000-0008-0000-02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201799</xdr:colOff>
      <xdr:row>16</xdr:row>
      <xdr:rowOff>90730</xdr:rowOff>
    </xdr:from>
    <xdr:to>
      <xdr:col>15</xdr:col>
      <xdr:colOff>504973</xdr:colOff>
      <xdr:row>20</xdr:row>
      <xdr:rowOff>82907</xdr:rowOff>
    </xdr:to>
    <xdr:sp macro="" textlink="">
      <xdr:nvSpPr>
        <xdr:cNvPr id="86" name="TextBox 85">
          <a:extLst>
            <a:ext uri="{FF2B5EF4-FFF2-40B4-BE49-F238E27FC236}">
              <a16:creationId xmlns:a16="http://schemas.microsoft.com/office/drawing/2014/main" id="{00000000-0008-0000-0200-000056000000}"/>
            </a:ext>
          </a:extLst>
        </xdr:cNvPr>
        <xdr:cNvSpPr txBox="1"/>
      </xdr:nvSpPr>
      <xdr:spPr>
        <a:xfrm>
          <a:off x="6669274" y="2872030"/>
          <a:ext cx="2622512" cy="716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accent5">
                  <a:lumMod val="50000"/>
                </a:schemeClr>
              </a:solidFill>
              <a:latin typeface="+mn-lt"/>
              <a:ea typeface="+mn-ea"/>
              <a:cs typeface="+mn-cs"/>
            </a:rPr>
            <a:t>Weekly Expenses</a:t>
          </a:r>
        </a:p>
      </xdr:txBody>
    </xdr:sp>
    <xdr:clientData/>
  </xdr:twoCellAnchor>
  <xdr:twoCellAnchor>
    <xdr:from>
      <xdr:col>7</xdr:col>
      <xdr:colOff>421667</xdr:colOff>
      <xdr:row>29</xdr:row>
      <xdr:rowOff>167800</xdr:rowOff>
    </xdr:from>
    <xdr:to>
      <xdr:col>9</xdr:col>
      <xdr:colOff>204593</xdr:colOff>
      <xdr:row>35</xdr:row>
      <xdr:rowOff>151123</xdr:rowOff>
    </xdr:to>
    <xdr:grpSp>
      <xdr:nvGrpSpPr>
        <xdr:cNvPr id="93" name="Group 92">
          <a:extLst>
            <a:ext uri="{FF2B5EF4-FFF2-40B4-BE49-F238E27FC236}">
              <a16:creationId xmlns:a16="http://schemas.microsoft.com/office/drawing/2014/main" id="{00000000-0008-0000-0200-00005D000000}"/>
            </a:ext>
          </a:extLst>
        </xdr:cNvPr>
        <xdr:cNvGrpSpPr/>
      </xdr:nvGrpSpPr>
      <xdr:grpSpPr>
        <a:xfrm>
          <a:off x="4187493" y="5402409"/>
          <a:ext cx="1041883" cy="1109757"/>
          <a:chOff x="4328182" y="5225575"/>
          <a:chExt cx="1078326" cy="1069173"/>
        </a:xfrm>
      </xdr:grpSpPr>
      <xdr:sp macro="" textlink="">
        <xdr:nvSpPr>
          <xdr:cNvPr id="89" name="Rectangle: Rounded Corners 88">
            <a:extLst>
              <a:ext uri="{FF2B5EF4-FFF2-40B4-BE49-F238E27FC236}">
                <a16:creationId xmlns:a16="http://schemas.microsoft.com/office/drawing/2014/main" id="{00000000-0008-0000-0200-000059000000}"/>
              </a:ext>
            </a:extLst>
          </xdr:cNvPr>
          <xdr:cNvSpPr/>
        </xdr:nvSpPr>
        <xdr:spPr>
          <a:xfrm>
            <a:off x="4328182" y="5225575"/>
            <a:ext cx="1078326" cy="1069173"/>
          </a:xfrm>
          <a:prstGeom prst="roundRect">
            <a:avLst>
              <a:gd name="adj" fmla="val 10412"/>
            </a:avLst>
          </a:prstGeom>
          <a:solidFill>
            <a:schemeClr val="accent5">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7" name="Graphic 106" descr="Money">
            <a:extLst>
              <a:ext uri="{FF2B5EF4-FFF2-40B4-BE49-F238E27FC236}">
                <a16:creationId xmlns:a16="http://schemas.microsoft.com/office/drawing/2014/main" id="{00000000-0008-0000-0200-00006B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4621604" y="5225575"/>
            <a:ext cx="468000" cy="412206"/>
          </a:xfrm>
          <a:prstGeom prst="rect">
            <a:avLst/>
          </a:prstGeom>
        </xdr:spPr>
      </xdr:pic>
      <xdr:sp macro="" textlink="[1]Analysis!N7">
        <xdr:nvSpPr>
          <xdr:cNvPr id="114" name="TextBox 113">
            <a:extLst>
              <a:ext uri="{FF2B5EF4-FFF2-40B4-BE49-F238E27FC236}">
                <a16:creationId xmlns:a16="http://schemas.microsoft.com/office/drawing/2014/main" id="{00000000-0008-0000-0200-000072000000}"/>
              </a:ext>
            </a:extLst>
          </xdr:cNvPr>
          <xdr:cNvSpPr txBox="1"/>
        </xdr:nvSpPr>
        <xdr:spPr>
          <a:xfrm>
            <a:off x="4329162" y="5637309"/>
            <a:ext cx="1054524" cy="244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64E0205-35B3-4A66-A32B-CC1798BCE34C}" type="TxLink">
              <a:rPr lang="en-US" sz="1200" b="1" i="0" u="none" strike="noStrike">
                <a:solidFill>
                  <a:schemeClr val="bg1">
                    <a:lumMod val="85000"/>
                  </a:schemeClr>
                </a:solidFill>
                <a:latin typeface="Calibri"/>
                <a:ea typeface="+mn-ea"/>
                <a:cs typeface="Calibri"/>
              </a:rPr>
              <a:pPr marL="0" indent="0" algn="ctr"/>
              <a:t>Charity</a:t>
            </a:fld>
            <a:endParaRPr lang="en-US" sz="1200" b="1" i="0" u="none" strike="noStrike">
              <a:solidFill>
                <a:schemeClr val="bg1">
                  <a:lumMod val="85000"/>
                </a:schemeClr>
              </a:solidFill>
              <a:latin typeface="Calibri"/>
              <a:ea typeface="+mn-ea"/>
              <a:cs typeface="Calibri"/>
            </a:endParaRPr>
          </a:p>
        </xdr:txBody>
      </xdr:sp>
      <xdr:sp macro="" textlink="Analysis!R62">
        <xdr:nvSpPr>
          <xdr:cNvPr id="135" name="TextBox 134">
            <a:extLst>
              <a:ext uri="{FF2B5EF4-FFF2-40B4-BE49-F238E27FC236}">
                <a16:creationId xmlns:a16="http://schemas.microsoft.com/office/drawing/2014/main" id="{00000000-0008-0000-0200-000087000000}"/>
              </a:ext>
            </a:extLst>
          </xdr:cNvPr>
          <xdr:cNvSpPr txBox="1"/>
        </xdr:nvSpPr>
        <xdr:spPr>
          <a:xfrm>
            <a:off x="4328506" y="5893203"/>
            <a:ext cx="1054524" cy="244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3C740E4-0EE5-4155-94E0-24A50EE11E10}" type="TxLink">
              <a:rPr lang="en-US" sz="2400" b="0" i="0" u="none" strike="noStrike">
                <a:solidFill>
                  <a:schemeClr val="bg1">
                    <a:lumMod val="95000"/>
                  </a:schemeClr>
                </a:solidFill>
                <a:latin typeface="Agency FB" panose="020B0503020202020204" pitchFamily="34" charset="0"/>
                <a:ea typeface="+mn-ea"/>
                <a:cs typeface="Calibri"/>
              </a:rPr>
              <a:pPr marL="0" indent="0" algn="ctr"/>
              <a:t>₹ 385</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5</xdr:col>
      <xdr:colOff>96753</xdr:colOff>
      <xdr:row>29</xdr:row>
      <xdr:rowOff>167800</xdr:rowOff>
    </xdr:from>
    <xdr:to>
      <xdr:col>6</xdr:col>
      <xdr:colOff>542409</xdr:colOff>
      <xdr:row>35</xdr:row>
      <xdr:rowOff>151123</xdr:rowOff>
    </xdr:to>
    <xdr:grpSp>
      <xdr:nvGrpSpPr>
        <xdr:cNvPr id="94" name="Group 93">
          <a:extLst>
            <a:ext uri="{FF2B5EF4-FFF2-40B4-BE49-F238E27FC236}">
              <a16:creationId xmlns:a16="http://schemas.microsoft.com/office/drawing/2014/main" id="{00000000-0008-0000-0200-00005E000000}"/>
            </a:ext>
          </a:extLst>
        </xdr:cNvPr>
        <xdr:cNvGrpSpPr/>
      </xdr:nvGrpSpPr>
      <xdr:grpSpPr>
        <a:xfrm>
          <a:off x="2603623" y="5402409"/>
          <a:ext cx="1075134" cy="1109757"/>
          <a:chOff x="2639969" y="5225575"/>
          <a:chExt cx="1093356" cy="1069173"/>
        </a:xfrm>
        <a:solidFill>
          <a:schemeClr val="bg1"/>
        </a:solidFill>
      </xdr:grpSpPr>
      <xdr:sp macro="" textlink="">
        <xdr:nvSpPr>
          <xdr:cNvPr id="90" name="Rectangle: Rounded Corners 89">
            <a:extLst>
              <a:ext uri="{FF2B5EF4-FFF2-40B4-BE49-F238E27FC236}">
                <a16:creationId xmlns:a16="http://schemas.microsoft.com/office/drawing/2014/main" id="{00000000-0008-0000-0200-00005A000000}"/>
              </a:ext>
            </a:extLst>
          </xdr:cNvPr>
          <xdr:cNvSpPr/>
        </xdr:nvSpPr>
        <xdr:spPr>
          <a:xfrm>
            <a:off x="2646431" y="5225575"/>
            <a:ext cx="1080057" cy="1069173"/>
          </a:xfrm>
          <a:prstGeom prst="roundRect">
            <a:avLst>
              <a:gd name="adj" fmla="val 10412"/>
            </a:avLst>
          </a:prstGeom>
          <a:grp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grpSp>
        <xdr:nvGrpSpPr>
          <xdr:cNvPr id="103" name="Group 102">
            <a:extLst>
              <a:ext uri="{FF2B5EF4-FFF2-40B4-BE49-F238E27FC236}">
                <a16:creationId xmlns:a16="http://schemas.microsoft.com/office/drawing/2014/main" id="{00000000-0008-0000-0200-000067000000}"/>
              </a:ext>
            </a:extLst>
          </xdr:cNvPr>
          <xdr:cNvGrpSpPr/>
        </xdr:nvGrpSpPr>
        <xdr:grpSpPr>
          <a:xfrm>
            <a:off x="2955873" y="5260874"/>
            <a:ext cx="465759" cy="417362"/>
            <a:chOff x="2744008" y="5556542"/>
            <a:chExt cx="534907" cy="550489"/>
          </a:xfrm>
          <a:grpFill/>
        </xdr:grpSpPr>
        <xdr:pic>
          <xdr:nvPicPr>
            <xdr:cNvPr id="104" name="Graphic 103" descr="Fruit bowl">
              <a:extLst>
                <a:ext uri="{FF2B5EF4-FFF2-40B4-BE49-F238E27FC236}">
                  <a16:creationId xmlns:a16="http://schemas.microsoft.com/office/drawing/2014/main" id="{00000000-0008-0000-0200-000068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877303" y="5556542"/>
              <a:ext cx="228600" cy="228600"/>
            </a:xfrm>
            <a:prstGeom prst="rect">
              <a:avLst/>
            </a:prstGeom>
          </xdr:spPr>
        </xdr:pic>
        <xdr:pic>
          <xdr:nvPicPr>
            <xdr:cNvPr id="105" name="Graphic 104" descr="Table and chairs with solid fill">
              <a:extLst>
                <a:ext uri="{FF2B5EF4-FFF2-40B4-BE49-F238E27FC236}">
                  <a16:creationId xmlns:a16="http://schemas.microsoft.com/office/drawing/2014/main" id="{00000000-0008-0000-0200-000069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2744008" y="5572124"/>
              <a:ext cx="534907" cy="534907"/>
            </a:xfrm>
            <a:prstGeom prst="rect">
              <a:avLst/>
            </a:prstGeom>
          </xdr:spPr>
        </xdr:pic>
      </xdr:grpSp>
      <xdr:sp macro="" textlink="[1]Analysis!N8">
        <xdr:nvSpPr>
          <xdr:cNvPr id="115" name="TextBox 114">
            <a:extLst>
              <a:ext uri="{FF2B5EF4-FFF2-40B4-BE49-F238E27FC236}">
                <a16:creationId xmlns:a16="http://schemas.microsoft.com/office/drawing/2014/main" id="{00000000-0008-0000-0200-000073000000}"/>
              </a:ext>
            </a:extLst>
          </xdr:cNvPr>
          <xdr:cNvSpPr txBox="1"/>
        </xdr:nvSpPr>
        <xdr:spPr>
          <a:xfrm>
            <a:off x="2640625" y="5637309"/>
            <a:ext cx="1092700" cy="244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B7BD3E-A7C1-4170-860F-6ED20500DCEF}" type="TxLink">
              <a:rPr lang="en-US" sz="1200" b="1" i="0" u="none" strike="noStrike">
                <a:solidFill>
                  <a:schemeClr val="accent5">
                    <a:lumMod val="50000"/>
                  </a:schemeClr>
                </a:solidFill>
                <a:latin typeface="Calibri"/>
                <a:ea typeface="+mn-ea"/>
                <a:cs typeface="Calibri"/>
              </a:rPr>
              <a:pPr marL="0" indent="0" algn="ctr"/>
              <a:t>Dining Out</a:t>
            </a:fld>
            <a:endParaRPr lang="en-US" sz="1200" b="1" i="0" u="none" strike="noStrike">
              <a:solidFill>
                <a:schemeClr val="accent5">
                  <a:lumMod val="50000"/>
                </a:schemeClr>
              </a:solidFill>
              <a:latin typeface="Calibri"/>
              <a:ea typeface="+mn-ea"/>
              <a:cs typeface="Calibri"/>
            </a:endParaRPr>
          </a:p>
        </xdr:txBody>
      </xdr:sp>
      <xdr:sp macro="" textlink="Analysis!R61">
        <xdr:nvSpPr>
          <xdr:cNvPr id="136" name="TextBox 135">
            <a:extLst>
              <a:ext uri="{FF2B5EF4-FFF2-40B4-BE49-F238E27FC236}">
                <a16:creationId xmlns:a16="http://schemas.microsoft.com/office/drawing/2014/main" id="{00000000-0008-0000-0200-000088000000}"/>
              </a:ext>
            </a:extLst>
          </xdr:cNvPr>
          <xdr:cNvSpPr txBox="1"/>
        </xdr:nvSpPr>
        <xdr:spPr>
          <a:xfrm>
            <a:off x="2639969" y="5893203"/>
            <a:ext cx="1092700" cy="244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A800A91-661A-4BBA-BA3A-1374176BE061}" type="TxLink">
              <a:rPr lang="en-US" sz="2400" b="0" i="0" u="none" strike="noStrike">
                <a:solidFill>
                  <a:schemeClr val="accent5">
                    <a:lumMod val="50000"/>
                  </a:schemeClr>
                </a:solidFill>
                <a:latin typeface="Agency FB" panose="020B0503020202020204" pitchFamily="34" charset="0"/>
                <a:ea typeface="+mn-ea"/>
                <a:cs typeface="Calibri"/>
              </a:rPr>
              <a:pPr marL="0" indent="0" algn="ctr"/>
              <a:t>₹ 1,713</a:t>
            </a:fld>
            <a:endParaRPr lang="en-US" sz="2800" b="1" i="0" u="none" strike="noStrike">
              <a:solidFill>
                <a:schemeClr val="accent5">
                  <a:lumMod val="50000"/>
                </a:schemeClr>
              </a:solidFill>
              <a:latin typeface="Agency FB" panose="020B0503020202020204" pitchFamily="34" charset="0"/>
              <a:ea typeface="+mn-ea"/>
              <a:cs typeface="Calibri"/>
            </a:endParaRPr>
          </a:p>
        </xdr:txBody>
      </xdr:sp>
    </xdr:grpSp>
    <xdr:clientData/>
  </xdr:twoCellAnchor>
  <xdr:twoCellAnchor>
    <xdr:from>
      <xdr:col>12</xdr:col>
      <xdr:colOff>416118</xdr:colOff>
      <xdr:row>29</xdr:row>
      <xdr:rowOff>167799</xdr:rowOff>
    </xdr:from>
    <xdr:to>
      <xdr:col>14</xdr:col>
      <xdr:colOff>307059</xdr:colOff>
      <xdr:row>35</xdr:row>
      <xdr:rowOff>151123</xdr:rowOff>
    </xdr:to>
    <xdr:grpSp>
      <xdr:nvGrpSpPr>
        <xdr:cNvPr id="84" name="Group 83">
          <a:extLst>
            <a:ext uri="{FF2B5EF4-FFF2-40B4-BE49-F238E27FC236}">
              <a16:creationId xmlns:a16="http://schemas.microsoft.com/office/drawing/2014/main" id="{00000000-0008-0000-0200-000054000000}"/>
            </a:ext>
          </a:extLst>
        </xdr:cNvPr>
        <xdr:cNvGrpSpPr/>
      </xdr:nvGrpSpPr>
      <xdr:grpSpPr>
        <a:xfrm>
          <a:off x="7329335" y="5402408"/>
          <a:ext cx="1149898" cy="1109758"/>
          <a:chOff x="7641429" y="5225574"/>
          <a:chExt cx="1186341" cy="1069174"/>
        </a:xfrm>
      </xdr:grpSpPr>
      <xdr:sp macro="" textlink="">
        <xdr:nvSpPr>
          <xdr:cNvPr id="92" name="Rectangle: Rounded Corners 91">
            <a:extLst>
              <a:ext uri="{FF2B5EF4-FFF2-40B4-BE49-F238E27FC236}">
                <a16:creationId xmlns:a16="http://schemas.microsoft.com/office/drawing/2014/main" id="{00000000-0008-0000-0200-00005C000000}"/>
              </a:ext>
            </a:extLst>
          </xdr:cNvPr>
          <xdr:cNvSpPr/>
        </xdr:nvSpPr>
        <xdr:spPr>
          <a:xfrm>
            <a:off x="7693342" y="5225574"/>
            <a:ext cx="1073805" cy="1069174"/>
          </a:xfrm>
          <a:prstGeom prst="roundRect">
            <a:avLst>
              <a:gd name="adj" fmla="val 10412"/>
            </a:avLst>
          </a:prstGeom>
          <a:solidFill>
            <a:schemeClr val="accent5">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6" name="Graphic 105" descr="Shopping bag with solid fill">
            <a:extLst>
              <a:ext uri="{FF2B5EF4-FFF2-40B4-BE49-F238E27FC236}">
                <a16:creationId xmlns:a16="http://schemas.microsoft.com/office/drawing/2014/main" id="{00000000-0008-0000-0200-00006A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7996937" y="5260873"/>
            <a:ext cx="453919" cy="362237"/>
          </a:xfrm>
          <a:prstGeom prst="rect">
            <a:avLst/>
          </a:prstGeom>
        </xdr:spPr>
      </xdr:pic>
      <xdr:sp macro="" textlink="[1]Analysis!N9">
        <xdr:nvSpPr>
          <xdr:cNvPr id="116" name="TextBox 115">
            <a:extLst>
              <a:ext uri="{FF2B5EF4-FFF2-40B4-BE49-F238E27FC236}">
                <a16:creationId xmlns:a16="http://schemas.microsoft.com/office/drawing/2014/main" id="{00000000-0008-0000-0200-000074000000}"/>
              </a:ext>
            </a:extLst>
          </xdr:cNvPr>
          <xdr:cNvSpPr txBox="1"/>
        </xdr:nvSpPr>
        <xdr:spPr>
          <a:xfrm>
            <a:off x="7656374" y="5637955"/>
            <a:ext cx="1171396" cy="243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E111295-C9E7-4B90-B297-92A54466C5F8}" type="TxLink">
              <a:rPr lang="en-US" sz="1200" b="1" i="0" u="none" strike="noStrike">
                <a:solidFill>
                  <a:schemeClr val="bg1">
                    <a:lumMod val="85000"/>
                  </a:schemeClr>
                </a:solidFill>
                <a:latin typeface="Calibri"/>
                <a:ea typeface="+mn-ea"/>
                <a:cs typeface="Calibri"/>
              </a:rPr>
              <a:pPr marL="0" indent="0" algn="ctr"/>
              <a:t>Discretionary</a:t>
            </a:fld>
            <a:endParaRPr lang="en-US" sz="1200" b="1" i="0" u="none" strike="noStrike">
              <a:solidFill>
                <a:schemeClr val="bg1">
                  <a:lumMod val="85000"/>
                </a:schemeClr>
              </a:solidFill>
              <a:latin typeface="Calibri"/>
              <a:ea typeface="+mn-ea"/>
              <a:cs typeface="Calibri"/>
            </a:endParaRPr>
          </a:p>
        </xdr:txBody>
      </xdr:sp>
      <xdr:sp macro="" textlink="Analysis!R58">
        <xdr:nvSpPr>
          <xdr:cNvPr id="137" name="TextBox 136">
            <a:extLst>
              <a:ext uri="{FF2B5EF4-FFF2-40B4-BE49-F238E27FC236}">
                <a16:creationId xmlns:a16="http://schemas.microsoft.com/office/drawing/2014/main" id="{00000000-0008-0000-0200-000089000000}"/>
              </a:ext>
            </a:extLst>
          </xdr:cNvPr>
          <xdr:cNvSpPr txBox="1"/>
        </xdr:nvSpPr>
        <xdr:spPr>
          <a:xfrm>
            <a:off x="7641429" y="5893849"/>
            <a:ext cx="1171396" cy="2438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A86109D-C8D1-4546-9F3B-3C6267CFDDB1}" type="TxLink">
              <a:rPr lang="en-US" sz="2400" b="0" i="0" u="none" strike="noStrike">
                <a:solidFill>
                  <a:schemeClr val="bg1">
                    <a:lumMod val="95000"/>
                  </a:schemeClr>
                </a:solidFill>
                <a:latin typeface="Agency FB" panose="020B0503020202020204" pitchFamily="34" charset="0"/>
                <a:ea typeface="+mn-ea"/>
                <a:cs typeface="Calibri"/>
              </a:rPr>
              <a:pPr marL="0" indent="0" algn="ctr"/>
              <a:t>₹ 4,799</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2</xdr:col>
      <xdr:colOff>212228</xdr:colOff>
      <xdr:row>29</xdr:row>
      <xdr:rowOff>161110</xdr:rowOff>
    </xdr:from>
    <xdr:to>
      <xdr:col>4</xdr:col>
      <xdr:colOff>226154</xdr:colOff>
      <xdr:row>35</xdr:row>
      <xdr:rowOff>144434</xdr:rowOff>
    </xdr:to>
    <xdr:grpSp>
      <xdr:nvGrpSpPr>
        <xdr:cNvPr id="120" name="Group 119">
          <a:extLst>
            <a:ext uri="{FF2B5EF4-FFF2-40B4-BE49-F238E27FC236}">
              <a16:creationId xmlns:a16="http://schemas.microsoft.com/office/drawing/2014/main" id="{00000000-0008-0000-0200-000078000000}"/>
            </a:ext>
          </a:extLst>
        </xdr:cNvPr>
        <xdr:cNvGrpSpPr/>
      </xdr:nvGrpSpPr>
      <xdr:grpSpPr>
        <a:xfrm>
          <a:off x="830663" y="5395719"/>
          <a:ext cx="1272882" cy="1109758"/>
          <a:chOff x="849387" y="5209360"/>
          <a:chExt cx="1308012" cy="1067204"/>
        </a:xfrm>
      </xdr:grpSpPr>
      <xdr:sp macro="" textlink="">
        <xdr:nvSpPr>
          <xdr:cNvPr id="87" name="Rectangle: Rounded Corners 86">
            <a:extLst>
              <a:ext uri="{FF2B5EF4-FFF2-40B4-BE49-F238E27FC236}">
                <a16:creationId xmlns:a16="http://schemas.microsoft.com/office/drawing/2014/main" id="{00000000-0008-0000-0200-000057000000}"/>
              </a:ext>
            </a:extLst>
          </xdr:cNvPr>
          <xdr:cNvSpPr/>
        </xdr:nvSpPr>
        <xdr:spPr>
          <a:xfrm>
            <a:off x="962038" y="5209360"/>
            <a:ext cx="1080400" cy="1067204"/>
          </a:xfrm>
          <a:prstGeom prst="roundRect">
            <a:avLst>
              <a:gd name="adj" fmla="val 10412"/>
            </a:avLst>
          </a:prstGeom>
          <a:solidFill>
            <a:schemeClr val="accent5">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2" name="Graphic 101" descr="Suburban scene">
            <a:extLst>
              <a:ext uri="{FF2B5EF4-FFF2-40B4-BE49-F238E27FC236}">
                <a16:creationId xmlns:a16="http://schemas.microsoft.com/office/drawing/2014/main" id="{00000000-0008-0000-0200-000066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280300" y="5209360"/>
            <a:ext cx="466701" cy="416508"/>
          </a:xfrm>
          <a:prstGeom prst="rect">
            <a:avLst/>
          </a:prstGeom>
        </xdr:spPr>
      </xdr:pic>
      <xdr:sp macro="" textlink="[1]Analysis!N10">
        <xdr:nvSpPr>
          <xdr:cNvPr id="117" name="TextBox 116">
            <a:extLst>
              <a:ext uri="{FF2B5EF4-FFF2-40B4-BE49-F238E27FC236}">
                <a16:creationId xmlns:a16="http://schemas.microsoft.com/office/drawing/2014/main" id="{00000000-0008-0000-0200-000075000000}"/>
              </a:ext>
            </a:extLst>
          </xdr:cNvPr>
          <xdr:cNvSpPr txBox="1"/>
        </xdr:nvSpPr>
        <xdr:spPr>
          <a:xfrm>
            <a:off x="864333" y="5623034"/>
            <a:ext cx="1293066" cy="241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659401-4057-4ECB-B180-991670454E61}" type="TxLink">
              <a:rPr lang="en-US" sz="1200" b="1" i="0" u="none" strike="noStrike">
                <a:solidFill>
                  <a:schemeClr val="bg1">
                    <a:lumMod val="85000"/>
                  </a:schemeClr>
                </a:solidFill>
                <a:latin typeface="Calibri"/>
                <a:ea typeface="+mn-ea"/>
                <a:cs typeface="Calibri"/>
              </a:rPr>
              <a:pPr marL="0" indent="0" algn="ctr"/>
              <a:t>Living Expenses</a:t>
            </a:fld>
            <a:endParaRPr lang="en-US" sz="1200" b="1" i="0" u="none" strike="noStrike">
              <a:solidFill>
                <a:schemeClr val="bg1">
                  <a:lumMod val="85000"/>
                </a:schemeClr>
              </a:solidFill>
              <a:latin typeface="Calibri"/>
              <a:ea typeface="+mn-ea"/>
              <a:cs typeface="Calibri"/>
            </a:endParaRPr>
          </a:p>
        </xdr:txBody>
      </xdr:sp>
      <xdr:sp macro="" textlink="Analysis!R57">
        <xdr:nvSpPr>
          <xdr:cNvPr id="138" name="TextBox 137">
            <a:extLst>
              <a:ext uri="{FF2B5EF4-FFF2-40B4-BE49-F238E27FC236}">
                <a16:creationId xmlns:a16="http://schemas.microsoft.com/office/drawing/2014/main" id="{00000000-0008-0000-0200-00008A000000}"/>
              </a:ext>
            </a:extLst>
          </xdr:cNvPr>
          <xdr:cNvSpPr txBox="1"/>
        </xdr:nvSpPr>
        <xdr:spPr>
          <a:xfrm>
            <a:off x="849387" y="5878600"/>
            <a:ext cx="1293066" cy="241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06C1FDB-0886-45E9-90B0-01A5767A75FB}" type="TxLink">
              <a:rPr lang="en-US" sz="2400" b="0" i="0" u="none" strike="noStrike">
                <a:solidFill>
                  <a:schemeClr val="bg1">
                    <a:lumMod val="95000"/>
                  </a:schemeClr>
                </a:solidFill>
                <a:latin typeface="Agency FB" panose="020B0503020202020204" pitchFamily="34" charset="0"/>
                <a:ea typeface="+mn-ea"/>
                <a:cs typeface="Calibri"/>
              </a:rPr>
              <a:pPr marL="0" indent="0" algn="ctr"/>
              <a:t>₹ 10,471</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10</xdr:col>
      <xdr:colOff>79309</xdr:colOff>
      <xdr:row>29</xdr:row>
      <xdr:rowOff>167799</xdr:rowOff>
    </xdr:from>
    <xdr:to>
      <xdr:col>11</xdr:col>
      <xdr:colOff>532747</xdr:colOff>
      <xdr:row>35</xdr:row>
      <xdr:rowOff>151123</xdr:rowOff>
    </xdr:to>
    <xdr:grpSp>
      <xdr:nvGrpSpPr>
        <xdr:cNvPr id="85" name="Group 84">
          <a:extLst>
            <a:ext uri="{FF2B5EF4-FFF2-40B4-BE49-F238E27FC236}">
              <a16:creationId xmlns:a16="http://schemas.microsoft.com/office/drawing/2014/main" id="{00000000-0008-0000-0200-000055000000}"/>
            </a:ext>
          </a:extLst>
        </xdr:cNvPr>
        <xdr:cNvGrpSpPr/>
      </xdr:nvGrpSpPr>
      <xdr:grpSpPr>
        <a:xfrm>
          <a:off x="5733570" y="5402408"/>
          <a:ext cx="1082916" cy="1109758"/>
          <a:chOff x="5994941" y="5225574"/>
          <a:chExt cx="1101137" cy="1069174"/>
        </a:xfrm>
      </xdr:grpSpPr>
      <xdr:sp macro="" textlink="">
        <xdr:nvSpPr>
          <xdr:cNvPr id="91" name="Rectangle: Rounded Corners 90">
            <a:extLst>
              <a:ext uri="{FF2B5EF4-FFF2-40B4-BE49-F238E27FC236}">
                <a16:creationId xmlns:a16="http://schemas.microsoft.com/office/drawing/2014/main" id="{00000000-0008-0000-0200-00005B000000}"/>
              </a:ext>
            </a:extLst>
          </xdr:cNvPr>
          <xdr:cNvSpPr/>
        </xdr:nvSpPr>
        <xdr:spPr>
          <a:xfrm>
            <a:off x="6008203" y="5225574"/>
            <a:ext cx="1083444" cy="1069174"/>
          </a:xfrm>
          <a:prstGeom prst="roundRect">
            <a:avLst>
              <a:gd name="adj" fmla="val 10412"/>
            </a:avLst>
          </a:prstGeom>
          <a:solidFill>
            <a:schemeClr val="accent5">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0" name="Graphic 99" descr="First aid kit">
            <a:extLst>
              <a:ext uri="{FF2B5EF4-FFF2-40B4-BE49-F238E27FC236}">
                <a16:creationId xmlns:a16="http://schemas.microsoft.com/office/drawing/2014/main" id="{00000000-0008-0000-0200-000064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6308561" y="5225574"/>
            <a:ext cx="465759" cy="416088"/>
          </a:xfrm>
          <a:prstGeom prst="rect">
            <a:avLst/>
          </a:prstGeom>
        </xdr:spPr>
      </xdr:pic>
      <xdr:sp macro="" textlink="[1]Analysis!N11">
        <xdr:nvSpPr>
          <xdr:cNvPr id="118" name="TextBox 117">
            <a:extLst>
              <a:ext uri="{FF2B5EF4-FFF2-40B4-BE49-F238E27FC236}">
                <a16:creationId xmlns:a16="http://schemas.microsoft.com/office/drawing/2014/main" id="{00000000-0008-0000-0200-000076000000}"/>
              </a:ext>
            </a:extLst>
          </xdr:cNvPr>
          <xdr:cNvSpPr txBox="1"/>
        </xdr:nvSpPr>
        <xdr:spPr>
          <a:xfrm>
            <a:off x="5999480" y="5637308"/>
            <a:ext cx="1096598" cy="244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B665D36-255D-4D0C-8DB4-488FD035A533}" type="TxLink">
              <a:rPr lang="en-US" sz="1200" b="1" i="0" u="none" strike="noStrike">
                <a:solidFill>
                  <a:schemeClr val="bg1">
                    <a:lumMod val="85000"/>
                  </a:schemeClr>
                </a:solidFill>
                <a:latin typeface="Calibri"/>
                <a:ea typeface="+mn-ea"/>
                <a:cs typeface="Calibri"/>
              </a:rPr>
              <a:pPr marL="0" indent="0" algn="ctr"/>
              <a:t>Medical</a:t>
            </a:fld>
            <a:endParaRPr lang="en-US" sz="1200" b="1" i="0" u="none" strike="noStrike">
              <a:solidFill>
                <a:schemeClr val="bg1">
                  <a:lumMod val="85000"/>
                </a:schemeClr>
              </a:solidFill>
              <a:latin typeface="Calibri"/>
              <a:ea typeface="+mn-ea"/>
              <a:cs typeface="Calibri"/>
            </a:endParaRPr>
          </a:p>
        </xdr:txBody>
      </xdr:sp>
      <xdr:sp macro="" textlink="Analysis!R63">
        <xdr:nvSpPr>
          <xdr:cNvPr id="139" name="TextBox 138">
            <a:extLst>
              <a:ext uri="{FF2B5EF4-FFF2-40B4-BE49-F238E27FC236}">
                <a16:creationId xmlns:a16="http://schemas.microsoft.com/office/drawing/2014/main" id="{00000000-0008-0000-0200-00008B000000}"/>
              </a:ext>
            </a:extLst>
          </xdr:cNvPr>
          <xdr:cNvSpPr txBox="1"/>
        </xdr:nvSpPr>
        <xdr:spPr>
          <a:xfrm>
            <a:off x="5994941" y="5893202"/>
            <a:ext cx="1096598" cy="244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E1FEBB0-E184-42A9-8C57-07CAA157D1A2}" type="TxLink">
              <a:rPr lang="en-US" sz="2400" b="0" i="0" u="none" strike="noStrike">
                <a:solidFill>
                  <a:schemeClr val="bg1">
                    <a:lumMod val="95000"/>
                  </a:schemeClr>
                </a:solidFill>
                <a:latin typeface="Agency FB" panose="020B0503020202020204" pitchFamily="34" charset="0"/>
                <a:ea typeface="+mn-ea"/>
                <a:cs typeface="Calibri"/>
              </a:rPr>
              <a:pPr marL="0" indent="0" algn="ctr"/>
              <a:t>₹ 150</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15</xdr:col>
      <xdr:colOff>463411</xdr:colOff>
      <xdr:row>29</xdr:row>
      <xdr:rowOff>117660</xdr:rowOff>
    </xdr:from>
    <xdr:to>
      <xdr:col>17</xdr:col>
      <xdr:colOff>274059</xdr:colOff>
      <xdr:row>35</xdr:row>
      <xdr:rowOff>154562</xdr:rowOff>
    </xdr:to>
    <xdr:grpSp>
      <xdr:nvGrpSpPr>
        <xdr:cNvPr id="81" name="Group 80">
          <a:extLst>
            <a:ext uri="{FF2B5EF4-FFF2-40B4-BE49-F238E27FC236}">
              <a16:creationId xmlns:a16="http://schemas.microsoft.com/office/drawing/2014/main" id="{00000000-0008-0000-0200-000051000000}"/>
            </a:ext>
          </a:extLst>
        </xdr:cNvPr>
        <xdr:cNvGrpSpPr/>
      </xdr:nvGrpSpPr>
      <xdr:grpSpPr>
        <a:xfrm>
          <a:off x="8988976" y="5352269"/>
          <a:ext cx="1069605" cy="1163336"/>
          <a:chOff x="9376398" y="5136602"/>
          <a:chExt cx="1107513" cy="1113960"/>
        </a:xfrm>
      </xdr:grpSpPr>
      <xdr:sp macro="" textlink="">
        <xdr:nvSpPr>
          <xdr:cNvPr id="88" name="Rectangle: Rounded Corners 87">
            <a:extLst>
              <a:ext uri="{FF2B5EF4-FFF2-40B4-BE49-F238E27FC236}">
                <a16:creationId xmlns:a16="http://schemas.microsoft.com/office/drawing/2014/main" id="{00000000-0008-0000-0200-000058000000}"/>
              </a:ext>
            </a:extLst>
          </xdr:cNvPr>
          <xdr:cNvSpPr/>
        </xdr:nvSpPr>
        <xdr:spPr>
          <a:xfrm>
            <a:off x="9382666" y="5190180"/>
            <a:ext cx="1083180" cy="1060382"/>
          </a:xfrm>
          <a:prstGeom prst="roundRect">
            <a:avLst>
              <a:gd name="adj" fmla="val 10412"/>
            </a:avLst>
          </a:prstGeom>
          <a:solidFill>
            <a:schemeClr val="accent5">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1" name="Graphic 100" descr="Car">
            <a:extLst>
              <a:ext uri="{FF2B5EF4-FFF2-40B4-BE49-F238E27FC236}">
                <a16:creationId xmlns:a16="http://schemas.microsoft.com/office/drawing/2014/main" id="{00000000-0008-0000-0200-000065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9640239" y="5136602"/>
            <a:ext cx="582481" cy="530773"/>
          </a:xfrm>
          <a:prstGeom prst="rect">
            <a:avLst/>
          </a:prstGeom>
        </xdr:spPr>
      </xdr:pic>
      <xdr:sp macro="" textlink="[1]Analysis!N12">
        <xdr:nvSpPr>
          <xdr:cNvPr id="119" name="TextBox 118">
            <a:extLst>
              <a:ext uri="{FF2B5EF4-FFF2-40B4-BE49-F238E27FC236}">
                <a16:creationId xmlns:a16="http://schemas.microsoft.com/office/drawing/2014/main" id="{00000000-0008-0000-0200-000077000000}"/>
              </a:ext>
            </a:extLst>
          </xdr:cNvPr>
          <xdr:cNvSpPr txBox="1"/>
        </xdr:nvSpPr>
        <xdr:spPr>
          <a:xfrm>
            <a:off x="9386580" y="5598166"/>
            <a:ext cx="1097331" cy="242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55C408-3711-4551-8BE2-7B4764D0B45C}" type="TxLink">
              <a:rPr lang="en-US" sz="1200" b="1" i="0" u="none" strike="noStrike">
                <a:solidFill>
                  <a:schemeClr val="bg1">
                    <a:lumMod val="85000"/>
                  </a:schemeClr>
                </a:solidFill>
                <a:latin typeface="Calibri"/>
                <a:cs typeface="Calibri"/>
              </a:rPr>
              <a:pPr algn="ctr"/>
              <a:t>Transport</a:t>
            </a:fld>
            <a:endParaRPr lang="en-US" sz="1200" b="1">
              <a:solidFill>
                <a:schemeClr val="bg1">
                  <a:lumMod val="85000"/>
                </a:schemeClr>
              </a:solidFill>
            </a:endParaRPr>
          </a:p>
        </xdr:txBody>
      </xdr:sp>
      <xdr:sp macro="" textlink="Analysis!R59">
        <xdr:nvSpPr>
          <xdr:cNvPr id="140" name="TextBox 139">
            <a:extLst>
              <a:ext uri="{FF2B5EF4-FFF2-40B4-BE49-F238E27FC236}">
                <a16:creationId xmlns:a16="http://schemas.microsoft.com/office/drawing/2014/main" id="{00000000-0008-0000-0200-00008C000000}"/>
              </a:ext>
            </a:extLst>
          </xdr:cNvPr>
          <xdr:cNvSpPr txBox="1"/>
        </xdr:nvSpPr>
        <xdr:spPr>
          <a:xfrm>
            <a:off x="9376398" y="5852594"/>
            <a:ext cx="1097331" cy="242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354300-518F-4847-A232-8C2A8F824D9E}" type="TxLink">
              <a:rPr lang="en-US" sz="2400" b="0" i="0" u="none" strike="noStrike">
                <a:solidFill>
                  <a:schemeClr val="bg1">
                    <a:lumMod val="95000"/>
                  </a:schemeClr>
                </a:solidFill>
                <a:latin typeface="Agency FB" panose="020B0503020202020204" pitchFamily="34" charset="0"/>
                <a:cs typeface="Calibri"/>
              </a:rPr>
              <a:pPr algn="ctr"/>
              <a:t>₹ 1,345</a:t>
            </a:fld>
            <a:endParaRPr lang="en-US" sz="4000" b="1">
              <a:solidFill>
                <a:schemeClr val="bg1">
                  <a:lumMod val="95000"/>
                </a:schemeClr>
              </a:solidFill>
              <a:latin typeface="Agency FB" panose="020B0503020202020204" pitchFamily="34" charset="0"/>
            </a:endParaRPr>
          </a:p>
        </xdr:txBody>
      </xdr:sp>
    </xdr:grpSp>
    <xdr:clientData/>
  </xdr:twoCellAnchor>
  <xdr:twoCellAnchor>
    <xdr:from>
      <xdr:col>19</xdr:col>
      <xdr:colOff>239286</xdr:colOff>
      <xdr:row>23</xdr:row>
      <xdr:rowOff>78734</xdr:rowOff>
    </xdr:from>
    <xdr:to>
      <xdr:col>21</xdr:col>
      <xdr:colOff>553944</xdr:colOff>
      <xdr:row>25</xdr:row>
      <xdr:rowOff>8757</xdr:rowOff>
    </xdr:to>
    <xdr:grpSp>
      <xdr:nvGrpSpPr>
        <xdr:cNvPr id="29" name="Group 28">
          <a:extLst>
            <a:ext uri="{FF2B5EF4-FFF2-40B4-BE49-F238E27FC236}">
              <a16:creationId xmlns:a16="http://schemas.microsoft.com/office/drawing/2014/main" id="{00000000-0008-0000-0200-00001D000000}"/>
            </a:ext>
          </a:extLst>
        </xdr:cNvPr>
        <xdr:cNvGrpSpPr/>
      </xdr:nvGrpSpPr>
      <xdr:grpSpPr>
        <a:xfrm>
          <a:off x="11282764" y="4275256"/>
          <a:ext cx="1565995" cy="305501"/>
          <a:chOff x="11633567" y="4495697"/>
          <a:chExt cx="1612445" cy="290617"/>
        </a:xfrm>
        <a:solidFill>
          <a:schemeClr val="bg1"/>
        </a:solidFill>
      </xdr:grpSpPr>
      <xdr:sp macro="" textlink="">
        <xdr:nvSpPr>
          <xdr:cNvPr id="141" name="Rectangle: Rounded Corners 140">
            <a:extLst>
              <a:ext uri="{FF2B5EF4-FFF2-40B4-BE49-F238E27FC236}">
                <a16:creationId xmlns:a16="http://schemas.microsoft.com/office/drawing/2014/main" id="{00000000-0008-0000-0200-00008D000000}"/>
              </a:ext>
            </a:extLst>
          </xdr:cNvPr>
          <xdr:cNvSpPr/>
        </xdr:nvSpPr>
        <xdr:spPr>
          <a:xfrm>
            <a:off x="11633567" y="4495697"/>
            <a:ext cx="1367427" cy="290617"/>
          </a:xfrm>
          <a:prstGeom prst="roundRect">
            <a:avLst>
              <a:gd name="adj" fmla="val 40152"/>
            </a:avLst>
          </a:prstGeom>
          <a:grp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accent5">
                  <a:lumMod val="50000"/>
                </a:schemeClr>
              </a:solidFill>
            </a:endParaRPr>
          </a:p>
        </xdr:txBody>
      </xdr:sp>
      <mc:AlternateContent xmlns:mc="http://schemas.openxmlformats.org/markup-compatibility/2006">
        <mc:Choice xmlns:a14="http://schemas.microsoft.com/office/drawing/2010/main" Requires="a14">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11673666" y="4524970"/>
                <a:ext cx="920354" cy="22919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Expenses</a:t>
                </a:r>
              </a:p>
            </xdr:txBody>
          </xdr:sp>
        </mc:Choice>
        <mc:Fallback/>
      </mc:AlternateContent>
      <mc:AlternateContent xmlns:mc="http://schemas.openxmlformats.org/markup-compatibility/2006">
        <mc:Choice xmlns:a14="http://schemas.microsoft.com/office/drawing/2010/main" Requires="a14">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12325657" y="4525090"/>
                <a:ext cx="920355" cy="22919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Income</a:t>
                </a:r>
              </a:p>
            </xdr:txBody>
          </xdr:sp>
        </mc:Choice>
        <mc:Fallback/>
      </mc:AlternateContent>
    </xdr:grpSp>
    <xdr:clientData/>
  </xdr:twoCellAnchor>
  <xdr:twoCellAnchor>
    <xdr:from>
      <xdr:col>17</xdr:col>
      <xdr:colOff>414332</xdr:colOff>
      <xdr:row>26</xdr:row>
      <xdr:rowOff>123264</xdr:rowOff>
    </xdr:from>
    <xdr:to>
      <xdr:col>21</xdr:col>
      <xdr:colOff>341642</xdr:colOff>
      <xdr:row>34</xdr:row>
      <xdr:rowOff>161085</xdr:rowOff>
    </xdr:to>
    <xdr:graphicFrame macro="">
      <xdr:nvGraphicFramePr>
        <xdr:cNvPr id="142" name="Chart 141">
          <a:extLst>
            <a:ext uri="{FF2B5EF4-FFF2-40B4-BE49-F238E27FC236}">
              <a16:creationId xmlns:a16="http://schemas.microsoft.com/office/drawing/2014/main" id="{00000000-0008-0000-0200-00008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xdr:col>
      <xdr:colOff>119327</xdr:colOff>
      <xdr:row>18</xdr:row>
      <xdr:rowOff>34012</xdr:rowOff>
    </xdr:from>
    <xdr:to>
      <xdr:col>5</xdr:col>
      <xdr:colOff>153345</xdr:colOff>
      <xdr:row>29</xdr:row>
      <xdr:rowOff>58614</xdr:rowOff>
    </xdr:to>
    <xdr:graphicFrame macro="">
      <xdr:nvGraphicFramePr>
        <xdr:cNvPr id="31" name="Chart 30">
          <a:extLst>
            <a:ext uri="{FF2B5EF4-FFF2-40B4-BE49-F238E27FC236}">
              <a16:creationId xmlns:a16="http://schemas.microsoft.com/office/drawing/2014/main" id="{00000000-0008-0000-02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editAs="absolute">
    <xdr:from>
      <xdr:col>17</xdr:col>
      <xdr:colOff>408213</xdr:colOff>
      <xdr:row>16</xdr:row>
      <xdr:rowOff>71474</xdr:rowOff>
    </xdr:from>
    <xdr:to>
      <xdr:col>21</xdr:col>
      <xdr:colOff>380999</xdr:colOff>
      <xdr:row>23</xdr:row>
      <xdr:rowOff>17300</xdr:rowOff>
    </xdr:to>
    <mc:AlternateContent xmlns:mc="http://schemas.openxmlformats.org/markup-compatibility/2006">
      <mc:Choice xmlns:a14="http://schemas.microsoft.com/office/drawing/2010/main" Requires="a14">
        <xdr:graphicFrame macro="">
          <xdr:nvGraphicFramePr>
            <xdr:cNvPr id="72" name="Category">
              <a:extLst>
                <a:ext uri="{FF2B5EF4-FFF2-40B4-BE49-F238E27FC236}">
                  <a16:creationId xmlns:a16="http://schemas.microsoft.com/office/drawing/2014/main" id="{00000000-0008-0000-0200-000048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0192735" y="2953822"/>
              <a:ext cx="2490699" cy="126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17</xdr:col>
      <xdr:colOff>539577</xdr:colOff>
      <xdr:row>9</xdr:row>
      <xdr:rowOff>113310</xdr:rowOff>
    </xdr:from>
    <xdr:to>
      <xdr:col>21</xdr:col>
      <xdr:colOff>145664</xdr:colOff>
      <xdr:row>14</xdr:row>
      <xdr:rowOff>182614</xdr:rowOff>
    </xdr:to>
    <mc:AlternateContent xmlns:mc="http://schemas.openxmlformats.org/markup-compatibility/2006">
      <mc:Choice xmlns:a14="http://schemas.microsoft.com/office/drawing/2010/main" Requires="a14">
        <xdr:graphicFrame macro="">
          <xdr:nvGraphicFramePr>
            <xdr:cNvPr id="73" name="Month Number">
              <a:extLst>
                <a:ext uri="{FF2B5EF4-FFF2-40B4-BE49-F238E27FC236}">
                  <a16:creationId xmlns:a16="http://schemas.microsoft.com/office/drawing/2014/main" id="{00000000-0008-0000-0200-000049000000}"/>
                </a:ext>
              </a:extLst>
            </xdr:cNvPr>
            <xdr:cNvGraphicFramePr/>
          </xdr:nvGraphicFramePr>
          <xdr:xfrm>
            <a:off x="0" y="0"/>
            <a:ext cx="0" cy="0"/>
          </xdr:xfrm>
          <a:graphic>
            <a:graphicData uri="http://schemas.microsoft.com/office/drawing/2010/slicer">
              <sle:slicer xmlns:sle="http://schemas.microsoft.com/office/drawing/2010/slicer" name="Month Number"/>
            </a:graphicData>
          </a:graphic>
        </xdr:graphicFrame>
      </mc:Choice>
      <mc:Fallback>
        <xdr:sp macro="" textlink="">
          <xdr:nvSpPr>
            <xdr:cNvPr id="0" name=""/>
            <xdr:cNvSpPr>
              <a:spLocks noTextEdit="1"/>
            </xdr:cNvSpPr>
          </xdr:nvSpPr>
          <xdr:spPr>
            <a:xfrm>
              <a:off x="10324099" y="1681484"/>
              <a:ext cx="2124000" cy="1008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21</xdr:col>
      <xdr:colOff>38100</xdr:colOff>
      <xdr:row>1</xdr:row>
      <xdr:rowOff>151149</xdr:rowOff>
    </xdr:from>
    <xdr:to>
      <xdr:col>21</xdr:col>
      <xdr:colOff>413657</xdr:colOff>
      <xdr:row>4</xdr:row>
      <xdr:rowOff>95979</xdr:rowOff>
    </xdr:to>
    <xdr:pic macro="[0]!Remove_filter">
      <xdr:nvPicPr>
        <xdr:cNvPr id="74" name="Graphic 73" descr="Garbage">
          <a:extLst>
            <a:ext uri="{FF2B5EF4-FFF2-40B4-BE49-F238E27FC236}">
              <a16:creationId xmlns:a16="http://schemas.microsoft.com/office/drawing/2014/main" id="{00000000-0008-0000-0200-00004A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2720289" y="332356"/>
          <a:ext cx="375557" cy="374617"/>
        </a:xfrm>
        <a:prstGeom prst="rect">
          <a:avLst/>
        </a:prstGeom>
      </xdr:spPr>
    </xdr:pic>
    <xdr:clientData/>
  </xdr:twoCellAnchor>
  <xdr:twoCellAnchor editAs="absolute">
    <xdr:from>
      <xdr:col>1</xdr:col>
      <xdr:colOff>48709</xdr:colOff>
      <xdr:row>29</xdr:row>
      <xdr:rowOff>177723</xdr:rowOff>
    </xdr:from>
    <xdr:to>
      <xdr:col>2</xdr:col>
      <xdr:colOff>121478</xdr:colOff>
      <xdr:row>35</xdr:row>
      <xdr:rowOff>154734</xdr:rowOff>
    </xdr:to>
    <xdr:sp macro="" textlink="">
      <xdr:nvSpPr>
        <xdr:cNvPr id="79" name="Rectangle: Rounded Corners 78">
          <a:extLst>
            <a:ext uri="{FF2B5EF4-FFF2-40B4-BE49-F238E27FC236}">
              <a16:creationId xmlns:a16="http://schemas.microsoft.com/office/drawing/2014/main" id="{00000000-0008-0000-0200-00004F000000}"/>
            </a:ext>
          </a:extLst>
        </xdr:cNvPr>
        <xdr:cNvSpPr/>
      </xdr:nvSpPr>
      <xdr:spPr>
        <a:xfrm rot="16200000">
          <a:off x="-63542" y="5712322"/>
          <a:ext cx="1103445" cy="503465"/>
        </a:xfrm>
        <a:prstGeom prst="roundRect">
          <a:avLst>
            <a:gd name="adj" fmla="val 18795"/>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n>
                <a:noFill/>
              </a:ln>
              <a:solidFill>
                <a:schemeClr val="lt1"/>
              </a:solidFill>
            </a:rPr>
            <a:t>Expenses </a:t>
          </a:r>
        </a:p>
      </xdr:txBody>
    </xdr:sp>
    <xdr:clientData/>
  </xdr:twoCellAnchor>
  <xdr:twoCellAnchor>
    <xdr:from>
      <xdr:col>17</xdr:col>
      <xdr:colOff>570105</xdr:colOff>
      <xdr:row>6</xdr:row>
      <xdr:rowOff>98792</xdr:rowOff>
    </xdr:from>
    <xdr:to>
      <xdr:col>19</xdr:col>
      <xdr:colOff>76857</xdr:colOff>
      <xdr:row>7</xdr:row>
      <xdr:rowOff>137948</xdr:rowOff>
    </xdr:to>
    <xdr:sp macro="" textlink="">
      <xdr:nvSpPr>
        <xdr:cNvPr id="95" name="TextBox 94">
          <a:extLst>
            <a:ext uri="{FF2B5EF4-FFF2-40B4-BE49-F238E27FC236}">
              <a16:creationId xmlns:a16="http://schemas.microsoft.com/office/drawing/2014/main" id="{00000000-0008-0000-0200-00005F000000}"/>
            </a:ext>
          </a:extLst>
        </xdr:cNvPr>
        <xdr:cNvSpPr txBox="1"/>
      </xdr:nvSpPr>
      <xdr:spPr>
        <a:xfrm>
          <a:off x="10652998" y="1078506"/>
          <a:ext cx="802152" cy="2214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tx1"/>
              </a:solidFill>
              <a:latin typeface="+mn-lt"/>
              <a:cs typeface="Arial" panose="020B0604020202020204" pitchFamily="34" charset="0"/>
            </a:rPr>
            <a:t>Filters</a:t>
          </a:r>
        </a:p>
      </xdr:txBody>
    </xdr:sp>
    <xdr:clientData/>
  </xdr:twoCellAnchor>
  <xdr:twoCellAnchor>
    <xdr:from>
      <xdr:col>17</xdr:col>
      <xdr:colOff>411350</xdr:colOff>
      <xdr:row>9</xdr:row>
      <xdr:rowOff>77020</xdr:rowOff>
    </xdr:from>
    <xdr:to>
      <xdr:col>21</xdr:col>
      <xdr:colOff>344561</xdr:colOff>
      <xdr:row>9</xdr:row>
      <xdr:rowOff>77020</xdr:rowOff>
    </xdr:to>
    <xdr:cxnSp macro="">
      <xdr:nvCxnSpPr>
        <xdr:cNvPr id="97" name="Straight Connector 96">
          <a:extLst>
            <a:ext uri="{FF2B5EF4-FFF2-40B4-BE49-F238E27FC236}">
              <a16:creationId xmlns:a16="http://schemas.microsoft.com/office/drawing/2014/main" id="{00000000-0008-0000-0200-000061000000}"/>
            </a:ext>
          </a:extLst>
        </xdr:cNvPr>
        <xdr:cNvCxnSpPr/>
      </xdr:nvCxnSpPr>
      <xdr:spPr>
        <a:xfrm>
          <a:off x="10484859" y="1587882"/>
          <a:ext cx="2521383" cy="0"/>
        </a:xfrm>
        <a:prstGeom prst="line">
          <a:avLst/>
        </a:prstGeom>
        <a:ln>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17</xdr:col>
      <xdr:colOff>498954</xdr:colOff>
      <xdr:row>6</xdr:row>
      <xdr:rowOff>137641</xdr:rowOff>
    </xdr:from>
    <xdr:to>
      <xdr:col>18</xdr:col>
      <xdr:colOff>19517</xdr:colOff>
      <xdr:row>7</xdr:row>
      <xdr:rowOff>121162</xdr:rowOff>
    </xdr:to>
    <xdr:pic>
      <xdr:nvPicPr>
        <xdr:cNvPr id="98" name="Graphic 97" descr="Filter">
          <a:extLst>
            <a:ext uri="{FF2B5EF4-FFF2-40B4-BE49-F238E27FC236}">
              <a16:creationId xmlns:a16="http://schemas.microsoft.com/office/drawing/2014/main" id="{00000000-0008-0000-0200-000062000000}"/>
            </a:ext>
          </a:extLst>
        </xdr:cNvPr>
        <xdr:cNvPicPr>
          <a:picLocks noChangeAspect="1"/>
        </xdr:cNvPicPr>
      </xdr:nvPicPr>
      <xdr:blipFill>
        <a:blip xmlns:r="http://schemas.openxmlformats.org/officeDocument/2006/relationships" r:embed="rId34" cstate="print">
          <a:extLst>
            <a:ext uri="{28A0092B-C50C-407E-A947-70E740481C1C}">
              <a14:useLocalDpi xmlns:a14="http://schemas.microsoft.com/office/drawing/2010/main" val="0"/>
            </a:ext>
            <a:ext uri="{96DAC541-7B7A-43D3-8B79-37D633B846F1}">
              <asvg:svgBlip xmlns:asvg="http://schemas.microsoft.com/office/drawing/2016/SVG/main" r:embed="rId35"/>
            </a:ext>
          </a:extLst>
        </a:blip>
        <a:stretch>
          <a:fillRect/>
        </a:stretch>
      </xdr:blipFill>
      <xdr:spPr>
        <a:xfrm>
          <a:off x="10558183" y="1114989"/>
          <a:ext cx="166606" cy="165738"/>
        </a:xfrm>
        <a:prstGeom prst="rect">
          <a:avLst/>
        </a:prstGeom>
      </xdr:spPr>
    </xdr:pic>
    <xdr:clientData/>
  </xdr:twoCellAnchor>
  <xdr:twoCellAnchor>
    <xdr:from>
      <xdr:col>17</xdr:col>
      <xdr:colOff>373307</xdr:colOff>
      <xdr:row>8</xdr:row>
      <xdr:rowOff>19731</xdr:rowOff>
    </xdr:from>
    <xdr:to>
      <xdr:col>20</xdr:col>
      <xdr:colOff>409219</xdr:colOff>
      <xdr:row>9</xdr:row>
      <xdr:rowOff>89938</xdr:rowOff>
    </xdr:to>
    <xdr:sp macro="" textlink="Analysis!AB5">
      <xdr:nvSpPr>
        <xdr:cNvPr id="110" name="TextBox 109">
          <a:extLst>
            <a:ext uri="{FF2B5EF4-FFF2-40B4-BE49-F238E27FC236}">
              <a16:creationId xmlns:a16="http://schemas.microsoft.com/office/drawing/2014/main" id="{00000000-0008-0000-0200-00006E000000}"/>
            </a:ext>
          </a:extLst>
        </xdr:cNvPr>
        <xdr:cNvSpPr txBox="1"/>
      </xdr:nvSpPr>
      <xdr:spPr>
        <a:xfrm>
          <a:off x="10486616" y="1342025"/>
          <a:ext cx="1985736" cy="249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288EE02-3392-41C8-818D-963A7B15C00F}" type="TxLink">
            <a:rPr lang="en-US" sz="1200" b="1" i="0" u="none" strike="noStrike">
              <a:solidFill>
                <a:schemeClr val="tx1"/>
              </a:solidFill>
              <a:latin typeface="Calibri"/>
              <a:cs typeface="Calibri"/>
            </a:rPr>
            <a:pPr algn="l"/>
            <a:t>Multiple months selected</a:t>
          </a:fld>
          <a:endParaRPr lang="en-US" sz="1400" b="1">
            <a:solidFill>
              <a:schemeClr val="tx1"/>
            </a:solidFill>
            <a:latin typeface="+mn-lt"/>
            <a:cs typeface="Arial" panose="020B0604020202020204" pitchFamily="34" charset="0"/>
          </a:endParaRPr>
        </a:p>
      </xdr:txBody>
    </xdr:sp>
    <xdr:clientData/>
  </xdr:twoCellAnchor>
  <xdr:twoCellAnchor>
    <xdr:from>
      <xdr:col>17</xdr:col>
      <xdr:colOff>410847</xdr:colOff>
      <xdr:row>16</xdr:row>
      <xdr:rowOff>56589</xdr:rowOff>
    </xdr:from>
    <xdr:to>
      <xdr:col>21</xdr:col>
      <xdr:colOff>344058</xdr:colOff>
      <xdr:row>16</xdr:row>
      <xdr:rowOff>56589</xdr:rowOff>
    </xdr:to>
    <xdr:cxnSp macro="">
      <xdr:nvCxnSpPr>
        <xdr:cNvPr id="112" name="Straight Connector 111">
          <a:extLst>
            <a:ext uri="{FF2B5EF4-FFF2-40B4-BE49-F238E27FC236}">
              <a16:creationId xmlns:a16="http://schemas.microsoft.com/office/drawing/2014/main" id="{00000000-0008-0000-0200-000070000000}"/>
            </a:ext>
          </a:extLst>
        </xdr:cNvPr>
        <xdr:cNvCxnSpPr/>
      </xdr:nvCxnSpPr>
      <xdr:spPr>
        <a:xfrm>
          <a:off x="10484356" y="2831977"/>
          <a:ext cx="2521383" cy="0"/>
        </a:xfrm>
        <a:prstGeom prst="line">
          <a:avLst/>
        </a:prstGeom>
        <a:ln>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286230</xdr:colOff>
      <xdr:row>15</xdr:row>
      <xdr:rowOff>6583</xdr:rowOff>
    </xdr:from>
    <xdr:to>
      <xdr:col>19</xdr:col>
      <xdr:colOff>45171</xdr:colOff>
      <xdr:row>16</xdr:row>
      <xdr:rowOff>56230</xdr:rowOff>
    </xdr:to>
    <xdr:sp macro="" textlink="">
      <xdr:nvSpPr>
        <xdr:cNvPr id="113" name="TextBox 112">
          <a:extLst>
            <a:ext uri="{FF2B5EF4-FFF2-40B4-BE49-F238E27FC236}">
              <a16:creationId xmlns:a16="http://schemas.microsoft.com/office/drawing/2014/main" id="{00000000-0008-0000-0200-000071000000}"/>
            </a:ext>
          </a:extLst>
        </xdr:cNvPr>
        <xdr:cNvSpPr txBox="1"/>
      </xdr:nvSpPr>
      <xdr:spPr>
        <a:xfrm>
          <a:off x="10399539" y="2583936"/>
          <a:ext cx="1058824" cy="228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accent5">
                  <a:lumMod val="50000"/>
                </a:schemeClr>
              </a:solidFill>
              <a:latin typeface="+mn-lt"/>
              <a:cs typeface="Arial" panose="020B0604020202020204" pitchFamily="34" charset="0"/>
            </a:rPr>
            <a:t>Categories</a:t>
          </a:r>
        </a:p>
      </xdr:txBody>
    </xdr:sp>
    <xdr:clientData/>
  </xdr:twoCellAnchor>
  <xdr:twoCellAnchor editAs="oneCell">
    <xdr:from>
      <xdr:col>1</xdr:col>
      <xdr:colOff>144518</xdr:colOff>
      <xdr:row>7</xdr:row>
      <xdr:rowOff>29561</xdr:rowOff>
    </xdr:from>
    <xdr:to>
      <xdr:col>2</xdr:col>
      <xdr:colOff>48738</xdr:colOff>
      <xdr:row>8</xdr:row>
      <xdr:rowOff>175745</xdr:rowOff>
    </xdr:to>
    <xdr:pic>
      <xdr:nvPicPr>
        <xdr:cNvPr id="121" name="Graphic 120" descr="Single gear">
          <a:hlinkClick xmlns:r="http://schemas.openxmlformats.org/officeDocument/2006/relationships" r:id="rId36"/>
          <a:extLst>
            <a:ext uri="{FF2B5EF4-FFF2-40B4-BE49-F238E27FC236}">
              <a16:creationId xmlns:a16="http://schemas.microsoft.com/office/drawing/2014/main" id="{00000000-0008-0000-0200-000079000000}"/>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335018" y="1179130"/>
          <a:ext cx="350910" cy="326831"/>
        </a:xfrm>
        <a:prstGeom prst="rect">
          <a:avLst/>
        </a:prstGeom>
      </xdr:spPr>
    </xdr:pic>
    <xdr:clientData/>
  </xdr:twoCellAnchor>
  <xdr:twoCellAnchor>
    <xdr:from>
      <xdr:col>17</xdr:col>
      <xdr:colOff>358958</xdr:colOff>
      <xdr:row>24</xdr:row>
      <xdr:rowOff>178834</xdr:rowOff>
    </xdr:from>
    <xdr:to>
      <xdr:col>21</xdr:col>
      <xdr:colOff>388218</xdr:colOff>
      <xdr:row>28</xdr:row>
      <xdr:rowOff>12691</xdr:rowOff>
    </xdr:to>
    <xdr:sp macro="" textlink="Analysis!AA21">
      <xdr:nvSpPr>
        <xdr:cNvPr id="13" name="TextBox 12">
          <a:extLst>
            <a:ext uri="{FF2B5EF4-FFF2-40B4-BE49-F238E27FC236}">
              <a16:creationId xmlns:a16="http://schemas.microsoft.com/office/drawing/2014/main" id="{00000000-0008-0000-0200-00000D000000}"/>
            </a:ext>
          </a:extLst>
        </xdr:cNvPr>
        <xdr:cNvSpPr txBox="1"/>
      </xdr:nvSpPr>
      <xdr:spPr>
        <a:xfrm>
          <a:off x="10472267" y="4369834"/>
          <a:ext cx="2629025" cy="523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DD07B39-2A04-4C55-B957-EC33A1A27487}" type="TxLink">
            <a:rPr lang="en-US" sz="1200" b="0" i="0" u="none" strike="noStrike">
              <a:solidFill>
                <a:schemeClr val="accent5">
                  <a:lumMod val="50000"/>
                </a:schemeClr>
              </a:solidFill>
              <a:latin typeface="Calibri"/>
              <a:cs typeface="Calibri"/>
            </a:rPr>
            <a:pPr algn="ctr"/>
            <a:t>To view monthly expenses, filter by category</a:t>
          </a:fld>
          <a:endParaRPr lang="en-US" sz="1400" b="0">
            <a:solidFill>
              <a:schemeClr val="accent5">
                <a:lumMod val="50000"/>
              </a:schemeClr>
            </a:solidFill>
            <a:latin typeface="+mn-lt"/>
            <a:cs typeface="Arial" panose="020B0604020202020204" pitchFamily="34" charset="0"/>
          </a:endParaRPr>
        </a:p>
      </xdr:txBody>
    </xdr:sp>
    <xdr:clientData/>
  </xdr:twoCellAnchor>
  <xdr:twoCellAnchor>
    <xdr:from>
      <xdr:col>18</xdr:col>
      <xdr:colOff>454115</xdr:colOff>
      <xdr:row>34</xdr:row>
      <xdr:rowOff>76584</xdr:rowOff>
    </xdr:from>
    <xdr:to>
      <xdr:col>20</xdr:col>
      <xdr:colOff>223208</xdr:colOff>
      <xdr:row>35</xdr:row>
      <xdr:rowOff>126067</xdr:rowOff>
    </xdr:to>
    <xdr:sp macro="" textlink="Analysis!Y28">
      <xdr:nvSpPr>
        <xdr:cNvPr id="21" name="TextBox 20">
          <a:extLst>
            <a:ext uri="{FF2B5EF4-FFF2-40B4-BE49-F238E27FC236}">
              <a16:creationId xmlns:a16="http://schemas.microsoft.com/office/drawing/2014/main" id="{00000000-0008-0000-0200-000015000000}"/>
            </a:ext>
          </a:extLst>
        </xdr:cNvPr>
        <xdr:cNvSpPr txBox="1"/>
      </xdr:nvSpPr>
      <xdr:spPr>
        <a:xfrm>
          <a:off x="11217366" y="5987688"/>
          <a:ext cx="1068975" cy="228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0FEDBD1-92F6-4D94-804B-42CC7855A5AC}" type="TxLink">
            <a:rPr lang="en-US" sz="1200" b="1" i="0" u="none" strike="noStrike">
              <a:solidFill>
                <a:schemeClr val="accent5">
                  <a:lumMod val="50000"/>
                </a:schemeClr>
              </a:solidFill>
              <a:latin typeface="Calibri"/>
              <a:cs typeface="Calibri"/>
            </a:rPr>
            <a:pPr algn="ctr"/>
            <a:t>₹ 20,938</a:t>
          </a:fld>
          <a:endParaRPr lang="en-US" sz="1600" b="1">
            <a:solidFill>
              <a:schemeClr val="accent5">
                <a:lumMod val="50000"/>
              </a:schemeClr>
            </a:solidFill>
            <a:latin typeface="+mn-lt"/>
            <a:cs typeface="Arial" panose="020B0604020202020204" pitchFamily="34" charset="0"/>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0.34266</cdr:x>
      <cdr:y>0.08775</cdr:y>
    </cdr:from>
    <cdr:to>
      <cdr:x>0.65932</cdr:x>
      <cdr:y>0.23002</cdr:y>
    </cdr:to>
    <cdr:sp macro="" textlink="">
      <cdr:nvSpPr>
        <cdr:cNvPr id="2" name="TextBox 1">
          <a:extLst xmlns:a="http://schemas.openxmlformats.org/drawingml/2006/main">
            <a:ext uri="{FF2B5EF4-FFF2-40B4-BE49-F238E27FC236}">
              <a16:creationId xmlns:a16="http://schemas.microsoft.com/office/drawing/2014/main" id="{6D55790C-8840-AA48-05A7-9B90A3D7A181}"/>
            </a:ext>
          </a:extLst>
        </cdr:cNvPr>
        <cdr:cNvSpPr txBox="1"/>
      </cdr:nvSpPr>
      <cdr:spPr>
        <a:xfrm xmlns:a="http://schemas.openxmlformats.org/drawingml/2006/main">
          <a:off x="829032" y="171140"/>
          <a:ext cx="766141" cy="277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559fbc4d3dcedfb0/Desktop/Final%20Projects/2022-Personal-Financial-Analysis-DB-MSExcel/PF+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v and Dec data"/>
      <sheetName val="PFData"/>
      <sheetName val="Date"/>
      <sheetName val="Analysis"/>
      <sheetName val="Dashboard"/>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vedita SK" refreshedDate="44803.718633912038" createdVersion="8" refreshedVersion="8" minRefreshableVersion="3" recordCount="344" xr:uid="{75A46F58-3A96-439F-864D-876A7FAA9115}">
  <cacheSource type="worksheet">
    <worksheetSource name="Table1"/>
  </cacheSource>
  <cacheFields count="10">
    <cacheField name="Date" numFmtId="164">
      <sharedItems containsSemiMixedTypes="0" containsNonDate="0" containsDate="1" containsString="0" minDate="2022-01-04T00:00:00" maxDate="2022-08-01T00:00:00"/>
    </cacheField>
    <cacheField name="Description" numFmtId="0">
      <sharedItems/>
    </cacheField>
    <cacheField name="Debit" numFmtId="0">
      <sharedItems containsString="0" containsBlank="1" containsNumber="1" minValue="5" maxValue="900"/>
    </cacheField>
    <cacheField name="Credit" numFmtId="0">
      <sharedItems containsString="0" containsBlank="1" containsNumber="1" containsInteger="1" minValue="100" maxValue="5000"/>
    </cacheField>
    <cacheField name="Sub-category" numFmtId="0">
      <sharedItems containsBlank="1" count="21">
        <s v="Tutoring"/>
        <s v="Coffee"/>
        <s v="Groceries"/>
        <s v="Kindle"/>
        <s v="Gas/Electrics"/>
        <s v="Entertainment"/>
        <s v="Clothes"/>
        <s v="Restaurant"/>
        <s v="Pharmacy"/>
        <s v="Taxi"/>
        <s v="Painting"/>
        <s v="Emcee"/>
        <s v="Phone"/>
        <s v="Gifts"/>
        <s v="Donation"/>
        <s v="Fueling"/>
        <s v="Doctor"/>
        <s v="Transcribe"/>
        <s v="Udemy"/>
        <s v="Furnishings"/>
        <m u="1"/>
      </sharedItems>
    </cacheField>
    <cacheField name="Category" numFmtId="0">
      <sharedItems containsBlank="1" count="10">
        <s v="Salary"/>
        <s v="Dining Out"/>
        <s v="Living Expenses"/>
        <s v="Personal Development"/>
        <s v="Discretionary"/>
        <s v="Medical"/>
        <s v="Transport"/>
        <s v="Passive"/>
        <s v="Charity"/>
        <m u="1"/>
      </sharedItems>
    </cacheField>
    <cacheField name="Category Type" numFmtId="0">
      <sharedItems containsBlank="1" count="3">
        <s v="Income"/>
        <s v="Expense"/>
        <m u="1"/>
      </sharedItems>
    </cacheField>
    <cacheField name="Month Number" numFmtId="0">
      <sharedItems containsSemiMixedTypes="0" containsString="0" containsNumber="1" containsInteger="1" minValue="1" maxValue="7" count="7">
        <n v="1"/>
        <n v="2"/>
        <n v="3"/>
        <n v="4"/>
        <n v="5"/>
        <n v="6"/>
        <n v="7"/>
      </sharedItems>
    </cacheField>
    <cacheField name="Weekday" numFmtId="165">
      <sharedItems containsSemiMixedTypes="0" containsNonDate="0" containsDate="1" containsString="0" minDate="1899-12-31T00:00:00" maxDate="1900-01-07T00:00:00" count="7">
        <d v="1900-01-02T00:00:00"/>
        <d v="1900-01-03T00:00:00"/>
        <d v="1900-01-04T00:00:00"/>
        <d v="1900-01-05T00:00:00"/>
        <d v="1900-01-06T00:00:00"/>
        <d v="1899-12-31T00:00:00"/>
        <d v="1900-01-01T00:00:00"/>
      </sharedItems>
    </cacheField>
    <cacheField name="Amount" numFmtId="0">
      <sharedItems containsSemiMixedTypes="0" containsString="0" containsNumber="1" minValue="-900" maxValue="5000"/>
    </cacheField>
  </cacheFields>
  <extLst>
    <ext xmlns:x14="http://schemas.microsoft.com/office/spreadsheetml/2009/9/main" uri="{725AE2AE-9491-48be-B2B4-4EB974FC3084}">
      <x14:pivotCacheDefinition pivotCacheId="18409245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4">
  <r>
    <d v="2022-01-04T00:00:00"/>
    <s v="Data With Decision"/>
    <m/>
    <n v="5000"/>
    <x v="0"/>
    <x v="0"/>
    <x v="0"/>
    <x v="0"/>
    <x v="0"/>
    <n v="5000"/>
  </r>
  <r>
    <d v="2022-01-04T00:00:00"/>
    <s v="Drink"/>
    <n v="5"/>
    <m/>
    <x v="1"/>
    <x v="1"/>
    <x v="1"/>
    <x v="0"/>
    <x v="0"/>
    <n v="-5"/>
  </r>
  <r>
    <d v="2022-01-05T00:00:00"/>
    <s v="Big Basket"/>
    <n v="900"/>
    <m/>
    <x v="2"/>
    <x v="2"/>
    <x v="1"/>
    <x v="0"/>
    <x v="1"/>
    <n v="-900"/>
  </r>
  <r>
    <d v="2022-01-05T00:00:00"/>
    <s v="Subscription"/>
    <n v="150"/>
    <m/>
    <x v="3"/>
    <x v="3"/>
    <x v="1"/>
    <x v="0"/>
    <x v="1"/>
    <n v="-150"/>
  </r>
  <r>
    <d v="2022-01-05T00:00:00"/>
    <s v="Drink"/>
    <n v="5"/>
    <m/>
    <x v="1"/>
    <x v="1"/>
    <x v="1"/>
    <x v="0"/>
    <x v="1"/>
    <n v="-5"/>
  </r>
  <r>
    <d v="2022-01-06T00:00:00"/>
    <s v="Drink"/>
    <n v="5"/>
    <m/>
    <x v="1"/>
    <x v="1"/>
    <x v="1"/>
    <x v="0"/>
    <x v="2"/>
    <n v="-5"/>
  </r>
  <r>
    <d v="2022-01-07T00:00:00"/>
    <s v="Drink"/>
    <n v="5"/>
    <m/>
    <x v="1"/>
    <x v="1"/>
    <x v="1"/>
    <x v="0"/>
    <x v="3"/>
    <n v="-5"/>
  </r>
  <r>
    <d v="2022-01-08T00:00:00"/>
    <s v="Drink"/>
    <n v="5"/>
    <m/>
    <x v="1"/>
    <x v="1"/>
    <x v="1"/>
    <x v="0"/>
    <x v="4"/>
    <n v="-5"/>
  </r>
  <r>
    <d v="2022-01-08T00:00:00"/>
    <s v="Big Basket"/>
    <n v="155"/>
    <m/>
    <x v="2"/>
    <x v="2"/>
    <x v="1"/>
    <x v="0"/>
    <x v="4"/>
    <n v="-155"/>
  </r>
  <r>
    <d v="2022-01-11T00:00:00"/>
    <s v="Power source"/>
    <n v="50"/>
    <m/>
    <x v="4"/>
    <x v="2"/>
    <x v="1"/>
    <x v="0"/>
    <x v="0"/>
    <n v="-50"/>
  </r>
  <r>
    <d v="2022-01-11T00:00:00"/>
    <s v="Drink"/>
    <n v="5"/>
    <m/>
    <x v="1"/>
    <x v="1"/>
    <x v="1"/>
    <x v="0"/>
    <x v="0"/>
    <n v="-5"/>
  </r>
  <r>
    <d v="2022-01-12T00:00:00"/>
    <s v="Drink"/>
    <n v="5"/>
    <m/>
    <x v="1"/>
    <x v="1"/>
    <x v="1"/>
    <x v="0"/>
    <x v="1"/>
    <n v="-5"/>
  </r>
  <r>
    <d v="2022-01-13T00:00:00"/>
    <s v="Fuel"/>
    <n v="77"/>
    <m/>
    <x v="1"/>
    <x v="1"/>
    <x v="1"/>
    <x v="0"/>
    <x v="2"/>
    <n v="-77"/>
  </r>
  <r>
    <d v="2022-01-13T00:00:00"/>
    <s v="Drink"/>
    <n v="5"/>
    <m/>
    <x v="1"/>
    <x v="1"/>
    <x v="1"/>
    <x v="0"/>
    <x v="2"/>
    <n v="-5"/>
  </r>
  <r>
    <d v="2022-01-14T00:00:00"/>
    <s v="Drink"/>
    <n v="5"/>
    <m/>
    <x v="1"/>
    <x v="1"/>
    <x v="1"/>
    <x v="0"/>
    <x v="3"/>
    <n v="-5"/>
  </r>
  <r>
    <d v="2022-01-15T00:00:00"/>
    <s v="Big Basket"/>
    <n v="135"/>
    <m/>
    <x v="2"/>
    <x v="2"/>
    <x v="1"/>
    <x v="0"/>
    <x v="4"/>
    <n v="-135"/>
  </r>
  <r>
    <d v="2022-01-15T00:00:00"/>
    <s v="Drink"/>
    <n v="5"/>
    <m/>
    <x v="1"/>
    <x v="1"/>
    <x v="1"/>
    <x v="0"/>
    <x v="4"/>
    <n v="-5"/>
  </r>
  <r>
    <d v="2022-01-16T00:00:00"/>
    <s v="Drink"/>
    <n v="5"/>
    <m/>
    <x v="1"/>
    <x v="1"/>
    <x v="1"/>
    <x v="0"/>
    <x v="5"/>
    <n v="-5"/>
  </r>
  <r>
    <d v="2022-01-16T00:00:00"/>
    <s v="Cinemas"/>
    <n v="40"/>
    <m/>
    <x v="5"/>
    <x v="4"/>
    <x v="1"/>
    <x v="0"/>
    <x v="5"/>
    <n v="-40"/>
  </r>
  <r>
    <d v="2022-01-16T00:00:00"/>
    <s v="West Side"/>
    <n v="98"/>
    <m/>
    <x v="6"/>
    <x v="4"/>
    <x v="1"/>
    <x v="0"/>
    <x v="5"/>
    <n v="-98"/>
  </r>
  <r>
    <d v="2022-01-16T00:00:00"/>
    <s v="Burger"/>
    <n v="52"/>
    <m/>
    <x v="7"/>
    <x v="1"/>
    <x v="1"/>
    <x v="0"/>
    <x v="5"/>
    <n v="-52"/>
  </r>
  <r>
    <d v="2022-01-17T00:00:00"/>
    <s v="Taken Medication"/>
    <n v="50"/>
    <m/>
    <x v="8"/>
    <x v="5"/>
    <x v="1"/>
    <x v="0"/>
    <x v="6"/>
    <n v="-50"/>
  </r>
  <r>
    <d v="2022-01-17T00:00:00"/>
    <s v="Uber"/>
    <n v="28"/>
    <m/>
    <x v="9"/>
    <x v="6"/>
    <x v="1"/>
    <x v="0"/>
    <x v="6"/>
    <n v="-28"/>
  </r>
  <r>
    <d v="2022-01-18T00:00:00"/>
    <s v="Income"/>
    <m/>
    <n v="4500"/>
    <x v="10"/>
    <x v="7"/>
    <x v="0"/>
    <x v="0"/>
    <x v="0"/>
    <n v="4500"/>
  </r>
  <r>
    <d v="2022-01-18T00:00:00"/>
    <s v="Drink"/>
    <n v="5"/>
    <m/>
    <x v="1"/>
    <x v="1"/>
    <x v="1"/>
    <x v="0"/>
    <x v="0"/>
    <n v="-5"/>
  </r>
  <r>
    <d v="2022-01-19T00:00:00"/>
    <s v="Drink"/>
    <n v="5"/>
    <m/>
    <x v="1"/>
    <x v="1"/>
    <x v="1"/>
    <x v="0"/>
    <x v="1"/>
    <n v="-5"/>
  </r>
  <r>
    <d v="2022-01-19T00:00:00"/>
    <s v="Income"/>
    <m/>
    <n v="4500"/>
    <x v="11"/>
    <x v="7"/>
    <x v="0"/>
    <x v="0"/>
    <x v="1"/>
    <n v="4500"/>
  </r>
  <r>
    <d v="2022-01-19T00:00:00"/>
    <s v="Phone"/>
    <n v="40"/>
    <m/>
    <x v="12"/>
    <x v="2"/>
    <x v="1"/>
    <x v="0"/>
    <x v="1"/>
    <n v="-40"/>
  </r>
  <r>
    <d v="2022-01-20T00:00:00"/>
    <s v="Birthday"/>
    <n v="45"/>
    <m/>
    <x v="13"/>
    <x v="4"/>
    <x v="1"/>
    <x v="0"/>
    <x v="2"/>
    <n v="-45"/>
  </r>
  <r>
    <d v="2022-01-20T00:00:00"/>
    <s v="Online streaming"/>
    <n v="32"/>
    <m/>
    <x v="5"/>
    <x v="4"/>
    <x v="1"/>
    <x v="0"/>
    <x v="2"/>
    <n v="-32"/>
  </r>
  <r>
    <d v="2022-01-20T00:00:00"/>
    <s v="Drink"/>
    <n v="5"/>
    <m/>
    <x v="1"/>
    <x v="1"/>
    <x v="1"/>
    <x v="0"/>
    <x v="2"/>
    <n v="-5"/>
  </r>
  <r>
    <d v="2022-01-21T00:00:00"/>
    <s v="Drink"/>
    <n v="5"/>
    <m/>
    <x v="1"/>
    <x v="1"/>
    <x v="1"/>
    <x v="0"/>
    <x v="3"/>
    <n v="-5"/>
  </r>
  <r>
    <d v="2022-01-22T00:00:00"/>
    <s v="Drink"/>
    <n v="5"/>
    <m/>
    <x v="1"/>
    <x v="1"/>
    <x v="1"/>
    <x v="0"/>
    <x v="4"/>
    <n v="-5"/>
  </r>
  <r>
    <d v="2022-01-22T00:00:00"/>
    <s v="Big Basket"/>
    <n v="170"/>
    <m/>
    <x v="2"/>
    <x v="2"/>
    <x v="1"/>
    <x v="0"/>
    <x v="4"/>
    <n v="-170"/>
  </r>
  <r>
    <d v="2022-01-23T00:00:00"/>
    <s v="Burrito"/>
    <n v="37"/>
    <m/>
    <x v="7"/>
    <x v="1"/>
    <x v="1"/>
    <x v="0"/>
    <x v="5"/>
    <n v="-37"/>
  </r>
  <r>
    <d v="2022-01-24T00:00:00"/>
    <s v="White soup"/>
    <n v="12"/>
    <m/>
    <x v="7"/>
    <x v="1"/>
    <x v="1"/>
    <x v="0"/>
    <x v="6"/>
    <n v="-12"/>
  </r>
  <r>
    <d v="2022-01-25T00:00:00"/>
    <s v="Orphanage"/>
    <n v="55"/>
    <m/>
    <x v="14"/>
    <x v="8"/>
    <x v="1"/>
    <x v="0"/>
    <x v="0"/>
    <n v="-55"/>
  </r>
  <r>
    <d v="2022-01-25T00:00:00"/>
    <s v="Fuel"/>
    <n v="63"/>
    <m/>
    <x v="15"/>
    <x v="6"/>
    <x v="1"/>
    <x v="0"/>
    <x v="0"/>
    <n v="-63"/>
  </r>
  <r>
    <d v="2022-01-25T00:00:00"/>
    <s v="Drink"/>
    <n v="5"/>
    <m/>
    <x v="1"/>
    <x v="1"/>
    <x v="1"/>
    <x v="0"/>
    <x v="0"/>
    <n v="-5"/>
  </r>
  <r>
    <d v="2022-01-26T00:00:00"/>
    <s v="Drink"/>
    <n v="5"/>
    <m/>
    <x v="1"/>
    <x v="1"/>
    <x v="1"/>
    <x v="0"/>
    <x v="1"/>
    <n v="-5"/>
  </r>
  <r>
    <d v="2022-01-27T00:00:00"/>
    <s v="Drink"/>
    <n v="5"/>
    <m/>
    <x v="1"/>
    <x v="1"/>
    <x v="1"/>
    <x v="0"/>
    <x v="2"/>
    <n v="-5"/>
  </r>
  <r>
    <d v="2022-01-28T00:00:00"/>
    <s v="Drink"/>
    <n v="5"/>
    <m/>
    <x v="1"/>
    <x v="1"/>
    <x v="1"/>
    <x v="0"/>
    <x v="3"/>
    <n v="-5"/>
  </r>
  <r>
    <d v="2022-01-29T00:00:00"/>
    <s v="Drink"/>
    <n v="5"/>
    <m/>
    <x v="1"/>
    <x v="1"/>
    <x v="1"/>
    <x v="0"/>
    <x v="4"/>
    <n v="-5"/>
  </r>
  <r>
    <d v="2022-01-29T00:00:00"/>
    <s v="Big Basket"/>
    <n v="162"/>
    <m/>
    <x v="2"/>
    <x v="2"/>
    <x v="1"/>
    <x v="0"/>
    <x v="4"/>
    <n v="-162"/>
  </r>
  <r>
    <d v="2022-01-30T00:00:00"/>
    <s v="H&amp;M"/>
    <n v="125"/>
    <m/>
    <x v="6"/>
    <x v="4"/>
    <x v="1"/>
    <x v="0"/>
    <x v="5"/>
    <n v="-125"/>
  </r>
  <r>
    <d v="2022-01-30T00:00:00"/>
    <s v="Hanging out/Ticket"/>
    <n v="175"/>
    <m/>
    <x v="5"/>
    <x v="4"/>
    <x v="1"/>
    <x v="0"/>
    <x v="5"/>
    <n v="-175"/>
  </r>
  <r>
    <d v="2022-01-31T00:00:00"/>
    <s v="Amazon"/>
    <n v="145"/>
    <m/>
    <x v="6"/>
    <x v="4"/>
    <x v="1"/>
    <x v="0"/>
    <x v="6"/>
    <n v="-145"/>
  </r>
  <r>
    <d v="2022-01-31T00:00:00"/>
    <s v="Uber"/>
    <n v="23"/>
    <m/>
    <x v="9"/>
    <x v="6"/>
    <x v="1"/>
    <x v="0"/>
    <x v="6"/>
    <n v="-23"/>
  </r>
  <r>
    <d v="2022-02-01T00:00:00"/>
    <s v="Data With Decision"/>
    <m/>
    <n v="5000"/>
    <x v="0"/>
    <x v="0"/>
    <x v="0"/>
    <x v="1"/>
    <x v="0"/>
    <n v="5000"/>
  </r>
  <r>
    <d v="2022-02-01T00:00:00"/>
    <s v="Drink"/>
    <n v="5"/>
    <m/>
    <x v="1"/>
    <x v="1"/>
    <x v="1"/>
    <x v="1"/>
    <x v="0"/>
    <n v="-5"/>
  </r>
  <r>
    <d v="2022-02-02T00:00:00"/>
    <s v="Big Basket"/>
    <n v="600"/>
    <m/>
    <x v="2"/>
    <x v="2"/>
    <x v="1"/>
    <x v="1"/>
    <x v="1"/>
    <n v="-600"/>
  </r>
  <r>
    <d v="2022-02-02T00:00:00"/>
    <s v="Subscription"/>
    <n v="150"/>
    <m/>
    <x v="3"/>
    <x v="3"/>
    <x v="1"/>
    <x v="1"/>
    <x v="1"/>
    <n v="-150"/>
  </r>
  <r>
    <d v="2022-02-02T00:00:00"/>
    <s v="Drink"/>
    <n v="5"/>
    <m/>
    <x v="1"/>
    <x v="1"/>
    <x v="1"/>
    <x v="1"/>
    <x v="1"/>
    <n v="-5"/>
  </r>
  <r>
    <d v="2022-02-03T00:00:00"/>
    <s v="Drink"/>
    <n v="5"/>
    <m/>
    <x v="1"/>
    <x v="1"/>
    <x v="1"/>
    <x v="1"/>
    <x v="2"/>
    <n v="-5"/>
  </r>
  <r>
    <d v="2022-02-04T00:00:00"/>
    <s v="Drink"/>
    <n v="5"/>
    <m/>
    <x v="1"/>
    <x v="1"/>
    <x v="1"/>
    <x v="1"/>
    <x v="3"/>
    <n v="-5"/>
  </r>
  <r>
    <d v="2022-02-05T00:00:00"/>
    <s v="Drink"/>
    <n v="5"/>
    <m/>
    <x v="1"/>
    <x v="1"/>
    <x v="1"/>
    <x v="1"/>
    <x v="4"/>
    <n v="-5"/>
  </r>
  <r>
    <d v="2022-02-05T00:00:00"/>
    <s v="Big Basket"/>
    <n v="205"/>
    <m/>
    <x v="2"/>
    <x v="2"/>
    <x v="1"/>
    <x v="1"/>
    <x v="4"/>
    <n v="-205"/>
  </r>
  <r>
    <d v="2022-02-08T00:00:00"/>
    <s v="Power source"/>
    <n v="51.1"/>
    <m/>
    <x v="4"/>
    <x v="2"/>
    <x v="1"/>
    <x v="1"/>
    <x v="0"/>
    <n v="-51.1"/>
  </r>
  <r>
    <d v="2022-02-08T00:00:00"/>
    <s v="Drink"/>
    <n v="5"/>
    <m/>
    <x v="1"/>
    <x v="1"/>
    <x v="1"/>
    <x v="1"/>
    <x v="0"/>
    <n v="-5"/>
  </r>
  <r>
    <d v="2022-02-09T00:00:00"/>
    <s v="Taken Medication"/>
    <n v="550"/>
    <m/>
    <x v="16"/>
    <x v="5"/>
    <x v="1"/>
    <x v="1"/>
    <x v="1"/>
    <n v="-550"/>
  </r>
  <r>
    <d v="2022-02-09T00:00:00"/>
    <s v="Drink"/>
    <n v="5"/>
    <m/>
    <x v="1"/>
    <x v="1"/>
    <x v="1"/>
    <x v="1"/>
    <x v="1"/>
    <n v="-5"/>
  </r>
  <r>
    <d v="2022-02-10T00:00:00"/>
    <s v="Fuel"/>
    <n v="78"/>
    <m/>
    <x v="15"/>
    <x v="6"/>
    <x v="1"/>
    <x v="1"/>
    <x v="2"/>
    <n v="-78"/>
  </r>
  <r>
    <d v="2022-02-10T00:00:00"/>
    <s v="Drink"/>
    <n v="5"/>
    <m/>
    <x v="1"/>
    <x v="1"/>
    <x v="1"/>
    <x v="1"/>
    <x v="2"/>
    <n v="-5"/>
  </r>
  <r>
    <d v="2022-02-11T00:00:00"/>
    <s v="Drink"/>
    <n v="5"/>
    <m/>
    <x v="1"/>
    <x v="1"/>
    <x v="1"/>
    <x v="1"/>
    <x v="3"/>
    <n v="-5"/>
  </r>
  <r>
    <d v="2022-02-12T00:00:00"/>
    <s v="Big Basket"/>
    <n v="135.9"/>
    <m/>
    <x v="2"/>
    <x v="2"/>
    <x v="1"/>
    <x v="1"/>
    <x v="4"/>
    <n v="-135.9"/>
  </r>
  <r>
    <d v="2022-02-12T00:00:00"/>
    <s v="Drink"/>
    <n v="5"/>
    <m/>
    <x v="1"/>
    <x v="1"/>
    <x v="1"/>
    <x v="1"/>
    <x v="4"/>
    <n v="-5"/>
  </r>
  <r>
    <d v="2022-02-13T00:00:00"/>
    <s v="Drink"/>
    <n v="5"/>
    <m/>
    <x v="1"/>
    <x v="1"/>
    <x v="1"/>
    <x v="1"/>
    <x v="5"/>
    <n v="-5"/>
  </r>
  <r>
    <d v="2022-02-13T00:00:00"/>
    <s v="Cinemas"/>
    <n v="40.9"/>
    <m/>
    <x v="5"/>
    <x v="4"/>
    <x v="1"/>
    <x v="1"/>
    <x v="5"/>
    <n v="-40.9"/>
  </r>
  <r>
    <d v="2022-02-13T00:00:00"/>
    <s v="Fashionistas"/>
    <n v="99"/>
    <m/>
    <x v="6"/>
    <x v="4"/>
    <x v="1"/>
    <x v="1"/>
    <x v="5"/>
    <n v="-99"/>
  </r>
  <r>
    <d v="2022-02-13T00:00:00"/>
    <s v="Burger"/>
    <n v="53"/>
    <m/>
    <x v="7"/>
    <x v="1"/>
    <x v="1"/>
    <x v="1"/>
    <x v="5"/>
    <n v="-53"/>
  </r>
  <r>
    <d v="2022-02-14T00:00:00"/>
    <s v="Uber"/>
    <n v="28.9"/>
    <m/>
    <x v="9"/>
    <x v="6"/>
    <x v="1"/>
    <x v="1"/>
    <x v="6"/>
    <n v="-28.9"/>
  </r>
  <r>
    <d v="2022-02-15T00:00:00"/>
    <s v="Income"/>
    <m/>
    <n v="800"/>
    <x v="17"/>
    <x v="7"/>
    <x v="0"/>
    <x v="1"/>
    <x v="0"/>
    <n v="800"/>
  </r>
  <r>
    <d v="2022-02-15T00:00:00"/>
    <s v="Drink"/>
    <n v="5"/>
    <m/>
    <x v="1"/>
    <x v="1"/>
    <x v="1"/>
    <x v="1"/>
    <x v="0"/>
    <n v="-5"/>
  </r>
  <r>
    <d v="2022-02-16T00:00:00"/>
    <s v="Drink"/>
    <n v="5"/>
    <m/>
    <x v="1"/>
    <x v="1"/>
    <x v="1"/>
    <x v="1"/>
    <x v="1"/>
    <n v="-5"/>
  </r>
  <r>
    <d v="2022-02-16T00:00:00"/>
    <s v="Phone"/>
    <n v="40"/>
    <m/>
    <x v="12"/>
    <x v="2"/>
    <x v="1"/>
    <x v="1"/>
    <x v="1"/>
    <n v="-40"/>
  </r>
  <r>
    <d v="2022-02-17T00:00:00"/>
    <s v="Birthday"/>
    <n v="45.9"/>
    <m/>
    <x v="13"/>
    <x v="4"/>
    <x v="1"/>
    <x v="1"/>
    <x v="2"/>
    <n v="-45.9"/>
  </r>
  <r>
    <d v="2022-02-17T00:00:00"/>
    <s v="Online streaming"/>
    <n v="35"/>
    <m/>
    <x v="5"/>
    <x v="4"/>
    <x v="1"/>
    <x v="1"/>
    <x v="2"/>
    <n v="-35"/>
  </r>
  <r>
    <d v="2022-02-17T00:00:00"/>
    <s v="Drink"/>
    <n v="5"/>
    <m/>
    <x v="1"/>
    <x v="1"/>
    <x v="1"/>
    <x v="1"/>
    <x v="2"/>
    <n v="-5"/>
  </r>
  <r>
    <d v="2022-02-18T00:00:00"/>
    <s v="Drink"/>
    <n v="5"/>
    <m/>
    <x v="1"/>
    <x v="1"/>
    <x v="1"/>
    <x v="1"/>
    <x v="3"/>
    <n v="-5"/>
  </r>
  <r>
    <d v="2022-02-19T00:00:00"/>
    <s v="Drink"/>
    <n v="5"/>
    <m/>
    <x v="1"/>
    <x v="1"/>
    <x v="1"/>
    <x v="1"/>
    <x v="4"/>
    <n v="-5"/>
  </r>
  <r>
    <d v="2022-02-19T00:00:00"/>
    <s v="Big Basket"/>
    <n v="171"/>
    <m/>
    <x v="2"/>
    <x v="2"/>
    <x v="1"/>
    <x v="1"/>
    <x v="4"/>
    <n v="-171"/>
  </r>
  <r>
    <d v="2022-02-20T00:00:00"/>
    <s v="Sandwhich"/>
    <n v="37.9"/>
    <m/>
    <x v="7"/>
    <x v="1"/>
    <x v="1"/>
    <x v="1"/>
    <x v="5"/>
    <n v="-37.9"/>
  </r>
  <r>
    <d v="2022-02-21T00:00:00"/>
    <s v="Maggi"/>
    <n v="12.9"/>
    <m/>
    <x v="7"/>
    <x v="1"/>
    <x v="1"/>
    <x v="1"/>
    <x v="6"/>
    <n v="-12.9"/>
  </r>
  <r>
    <d v="2022-02-22T00:00:00"/>
    <s v="Old Age Home"/>
    <n v="55"/>
    <m/>
    <x v="14"/>
    <x v="8"/>
    <x v="1"/>
    <x v="1"/>
    <x v="0"/>
    <n v="-55"/>
  </r>
  <r>
    <d v="2022-02-22T00:00:00"/>
    <s v="Fuel"/>
    <n v="64.099999999999994"/>
    <m/>
    <x v="15"/>
    <x v="6"/>
    <x v="1"/>
    <x v="1"/>
    <x v="0"/>
    <n v="-64.099999999999994"/>
  </r>
  <r>
    <d v="2022-02-22T00:00:00"/>
    <s v="Drink"/>
    <n v="5"/>
    <m/>
    <x v="1"/>
    <x v="1"/>
    <x v="1"/>
    <x v="1"/>
    <x v="0"/>
    <n v="-5"/>
  </r>
  <r>
    <d v="2022-02-23T00:00:00"/>
    <s v="Drink"/>
    <n v="5"/>
    <m/>
    <x v="1"/>
    <x v="1"/>
    <x v="1"/>
    <x v="1"/>
    <x v="1"/>
    <n v="-5"/>
  </r>
  <r>
    <d v="2022-02-24T00:00:00"/>
    <s v="Drink"/>
    <n v="5"/>
    <m/>
    <x v="1"/>
    <x v="1"/>
    <x v="1"/>
    <x v="1"/>
    <x v="2"/>
    <n v="-5"/>
  </r>
  <r>
    <d v="2022-02-25T00:00:00"/>
    <s v="Drink"/>
    <n v="5"/>
    <m/>
    <x v="1"/>
    <x v="1"/>
    <x v="1"/>
    <x v="1"/>
    <x v="3"/>
    <n v="-5"/>
  </r>
  <r>
    <d v="2022-02-26T00:00:00"/>
    <s v="Drink"/>
    <n v="5"/>
    <m/>
    <x v="1"/>
    <x v="1"/>
    <x v="1"/>
    <x v="1"/>
    <x v="4"/>
    <n v="-5"/>
  </r>
  <r>
    <d v="2022-02-26T00:00:00"/>
    <s v="Online learning"/>
    <n v="162.9"/>
    <m/>
    <x v="18"/>
    <x v="3"/>
    <x v="1"/>
    <x v="1"/>
    <x v="4"/>
    <n v="-162.9"/>
  </r>
  <r>
    <d v="2022-02-27T00:00:00"/>
    <s v="MAX"/>
    <n v="125.9"/>
    <m/>
    <x v="6"/>
    <x v="4"/>
    <x v="1"/>
    <x v="1"/>
    <x v="5"/>
    <n v="-125.9"/>
  </r>
  <r>
    <d v="2022-02-27T00:00:00"/>
    <s v="Myntra"/>
    <n v="137"/>
    <m/>
    <x v="6"/>
    <x v="4"/>
    <x v="1"/>
    <x v="1"/>
    <x v="5"/>
    <n v="-137"/>
  </r>
  <r>
    <d v="2022-02-28T00:00:00"/>
    <s v="Amazon"/>
    <n v="146.1"/>
    <m/>
    <x v="6"/>
    <x v="4"/>
    <x v="1"/>
    <x v="1"/>
    <x v="6"/>
    <n v="-146.1"/>
  </r>
  <r>
    <d v="2022-02-28T00:00:00"/>
    <s v="Uber"/>
    <n v="24.1"/>
    <m/>
    <x v="9"/>
    <x v="6"/>
    <x v="1"/>
    <x v="1"/>
    <x v="6"/>
    <n v="-24.1"/>
  </r>
  <r>
    <d v="2022-03-01T00:00:00"/>
    <s v="Data With Decision"/>
    <m/>
    <n v="5000"/>
    <x v="0"/>
    <x v="0"/>
    <x v="0"/>
    <x v="2"/>
    <x v="0"/>
    <n v="5000"/>
  </r>
  <r>
    <d v="2022-03-01T00:00:00"/>
    <s v="Drink"/>
    <n v="5"/>
    <m/>
    <x v="1"/>
    <x v="1"/>
    <x v="1"/>
    <x v="2"/>
    <x v="0"/>
    <n v="-5"/>
  </r>
  <r>
    <d v="2022-03-02T00:00:00"/>
    <s v="Big Basket"/>
    <n v="750"/>
    <m/>
    <x v="2"/>
    <x v="2"/>
    <x v="1"/>
    <x v="2"/>
    <x v="1"/>
    <n v="-750"/>
  </r>
  <r>
    <d v="2022-03-02T00:00:00"/>
    <s v="Subscription"/>
    <n v="150"/>
    <m/>
    <x v="3"/>
    <x v="3"/>
    <x v="1"/>
    <x v="2"/>
    <x v="1"/>
    <n v="-150"/>
  </r>
  <r>
    <d v="2022-03-02T00:00:00"/>
    <s v="Drink"/>
    <n v="5"/>
    <m/>
    <x v="1"/>
    <x v="1"/>
    <x v="1"/>
    <x v="2"/>
    <x v="1"/>
    <n v="-5"/>
  </r>
  <r>
    <d v="2022-03-03T00:00:00"/>
    <s v="Drink"/>
    <n v="5"/>
    <m/>
    <x v="1"/>
    <x v="1"/>
    <x v="1"/>
    <x v="2"/>
    <x v="2"/>
    <n v="-5"/>
  </r>
  <r>
    <d v="2022-03-04T00:00:00"/>
    <s v="Drink"/>
    <n v="5"/>
    <m/>
    <x v="1"/>
    <x v="1"/>
    <x v="1"/>
    <x v="2"/>
    <x v="3"/>
    <n v="-5"/>
  </r>
  <r>
    <d v="2022-03-05T00:00:00"/>
    <s v="Drink"/>
    <n v="5"/>
    <m/>
    <x v="1"/>
    <x v="1"/>
    <x v="1"/>
    <x v="2"/>
    <x v="4"/>
    <n v="-5"/>
  </r>
  <r>
    <d v="2022-03-05T00:00:00"/>
    <s v="Big Basket"/>
    <n v="149"/>
    <m/>
    <x v="2"/>
    <x v="2"/>
    <x v="1"/>
    <x v="2"/>
    <x v="4"/>
    <n v="-149"/>
  </r>
  <r>
    <d v="2022-03-08T00:00:00"/>
    <s v="Power source"/>
    <n v="52.1"/>
    <m/>
    <x v="4"/>
    <x v="2"/>
    <x v="1"/>
    <x v="2"/>
    <x v="0"/>
    <n v="-52.1"/>
  </r>
  <r>
    <d v="2022-03-08T00:00:00"/>
    <s v="Drink"/>
    <n v="5"/>
    <m/>
    <x v="1"/>
    <x v="1"/>
    <x v="1"/>
    <x v="2"/>
    <x v="0"/>
    <n v="-5"/>
  </r>
  <r>
    <d v="2022-03-09T00:00:00"/>
    <s v="Drink"/>
    <n v="5"/>
    <m/>
    <x v="1"/>
    <x v="1"/>
    <x v="1"/>
    <x v="2"/>
    <x v="1"/>
    <n v="-5"/>
  </r>
  <r>
    <d v="2022-03-10T00:00:00"/>
    <s v="Fuel"/>
    <n v="78.900000000000006"/>
    <m/>
    <x v="15"/>
    <x v="6"/>
    <x v="1"/>
    <x v="2"/>
    <x v="2"/>
    <n v="-78.900000000000006"/>
  </r>
  <r>
    <d v="2022-03-10T00:00:00"/>
    <s v="Drink"/>
    <n v="5"/>
    <m/>
    <x v="1"/>
    <x v="1"/>
    <x v="1"/>
    <x v="2"/>
    <x v="2"/>
    <n v="-5"/>
  </r>
  <r>
    <d v="2022-03-11T00:00:00"/>
    <s v="Drink"/>
    <n v="5"/>
    <m/>
    <x v="1"/>
    <x v="1"/>
    <x v="1"/>
    <x v="2"/>
    <x v="3"/>
    <n v="-5"/>
  </r>
  <r>
    <d v="2022-03-12T00:00:00"/>
    <s v="Big Basket"/>
    <n v="137"/>
    <m/>
    <x v="2"/>
    <x v="2"/>
    <x v="1"/>
    <x v="2"/>
    <x v="4"/>
    <n v="-137"/>
  </r>
  <r>
    <d v="2022-03-12T00:00:00"/>
    <s v="Drink"/>
    <n v="5"/>
    <m/>
    <x v="1"/>
    <x v="1"/>
    <x v="1"/>
    <x v="2"/>
    <x v="4"/>
    <n v="-5"/>
  </r>
  <r>
    <d v="2022-03-13T00:00:00"/>
    <s v="Drink"/>
    <n v="5"/>
    <m/>
    <x v="1"/>
    <x v="1"/>
    <x v="1"/>
    <x v="2"/>
    <x v="5"/>
    <n v="-5"/>
  </r>
  <r>
    <d v="2022-03-13T00:00:00"/>
    <s v="Cinemas"/>
    <n v="41.8"/>
    <m/>
    <x v="5"/>
    <x v="4"/>
    <x v="1"/>
    <x v="2"/>
    <x v="5"/>
    <n v="-41.8"/>
  </r>
  <r>
    <d v="2022-03-13T00:00:00"/>
    <s v="Ajio"/>
    <n v="99.9"/>
    <m/>
    <x v="6"/>
    <x v="4"/>
    <x v="1"/>
    <x v="2"/>
    <x v="5"/>
    <n v="-99.9"/>
  </r>
  <r>
    <d v="2022-03-13T00:00:00"/>
    <s v="Burger"/>
    <n v="54"/>
    <m/>
    <x v="7"/>
    <x v="1"/>
    <x v="1"/>
    <x v="2"/>
    <x v="5"/>
    <n v="-54"/>
  </r>
  <r>
    <d v="2022-03-14T00:00:00"/>
    <s v="Uber"/>
    <n v="30"/>
    <m/>
    <x v="9"/>
    <x v="6"/>
    <x v="1"/>
    <x v="2"/>
    <x v="6"/>
    <n v="-30"/>
  </r>
  <r>
    <d v="2022-03-15T00:00:00"/>
    <s v="Income"/>
    <m/>
    <n v="1000"/>
    <x v="10"/>
    <x v="7"/>
    <x v="0"/>
    <x v="2"/>
    <x v="0"/>
    <n v="1000"/>
  </r>
  <r>
    <d v="2022-03-15T00:00:00"/>
    <s v="Drink"/>
    <n v="5"/>
    <m/>
    <x v="1"/>
    <x v="1"/>
    <x v="1"/>
    <x v="2"/>
    <x v="0"/>
    <n v="-5"/>
  </r>
  <r>
    <d v="2022-03-16T00:00:00"/>
    <s v="Drink"/>
    <n v="5"/>
    <m/>
    <x v="1"/>
    <x v="1"/>
    <x v="1"/>
    <x v="2"/>
    <x v="1"/>
    <n v="-5"/>
  </r>
  <r>
    <d v="2022-03-16T00:00:00"/>
    <s v="Taken Medication"/>
    <n v="75"/>
    <m/>
    <x v="16"/>
    <x v="5"/>
    <x v="1"/>
    <x v="2"/>
    <x v="1"/>
    <n v="-75"/>
  </r>
  <r>
    <d v="2022-03-16T00:00:00"/>
    <s v="Phone"/>
    <n v="40"/>
    <m/>
    <x v="12"/>
    <x v="2"/>
    <x v="1"/>
    <x v="2"/>
    <x v="1"/>
    <n v="-40"/>
  </r>
  <r>
    <d v="2022-03-17T00:00:00"/>
    <s v="Birthday"/>
    <n v="46.8"/>
    <m/>
    <x v="13"/>
    <x v="4"/>
    <x v="1"/>
    <x v="2"/>
    <x v="2"/>
    <n v="-46.8"/>
  </r>
  <r>
    <d v="2022-03-17T00:00:00"/>
    <s v="Online streaming"/>
    <n v="35"/>
    <m/>
    <x v="5"/>
    <x v="4"/>
    <x v="1"/>
    <x v="2"/>
    <x v="2"/>
    <n v="-35"/>
  </r>
  <r>
    <d v="2022-03-17T00:00:00"/>
    <s v="Drink"/>
    <n v="5"/>
    <m/>
    <x v="1"/>
    <x v="1"/>
    <x v="1"/>
    <x v="2"/>
    <x v="2"/>
    <n v="-5"/>
  </r>
  <r>
    <d v="2022-03-18T00:00:00"/>
    <s v="Drink"/>
    <n v="5"/>
    <m/>
    <x v="1"/>
    <x v="1"/>
    <x v="1"/>
    <x v="2"/>
    <x v="3"/>
    <n v="-5"/>
  </r>
  <r>
    <d v="2022-03-19T00:00:00"/>
    <s v="Drink"/>
    <n v="5"/>
    <m/>
    <x v="1"/>
    <x v="1"/>
    <x v="1"/>
    <x v="2"/>
    <x v="4"/>
    <n v="-5"/>
  </r>
  <r>
    <d v="2022-03-19T00:00:00"/>
    <s v="Big Basket"/>
    <n v="171.9"/>
    <m/>
    <x v="2"/>
    <x v="2"/>
    <x v="1"/>
    <x v="2"/>
    <x v="4"/>
    <n v="-171.9"/>
  </r>
  <r>
    <d v="2022-03-20T00:00:00"/>
    <s v="Starbucks"/>
    <n v="39"/>
    <m/>
    <x v="7"/>
    <x v="1"/>
    <x v="1"/>
    <x v="2"/>
    <x v="5"/>
    <n v="-39"/>
  </r>
  <r>
    <d v="2022-03-21T00:00:00"/>
    <s v="McD"/>
    <n v="14"/>
    <m/>
    <x v="7"/>
    <x v="1"/>
    <x v="1"/>
    <x v="2"/>
    <x v="6"/>
    <n v="-14"/>
  </r>
  <r>
    <d v="2022-03-22T00:00:00"/>
    <s v="Orphanage"/>
    <n v="55"/>
    <m/>
    <x v="14"/>
    <x v="8"/>
    <x v="1"/>
    <x v="2"/>
    <x v="0"/>
    <n v="-55"/>
  </r>
  <r>
    <d v="2022-03-22T00:00:00"/>
    <s v="Fuel"/>
    <n v="65"/>
    <m/>
    <x v="15"/>
    <x v="6"/>
    <x v="1"/>
    <x v="2"/>
    <x v="0"/>
    <n v="-65"/>
  </r>
  <r>
    <d v="2022-03-22T00:00:00"/>
    <s v="Drink"/>
    <n v="5"/>
    <m/>
    <x v="1"/>
    <x v="1"/>
    <x v="1"/>
    <x v="2"/>
    <x v="0"/>
    <n v="-5"/>
  </r>
  <r>
    <d v="2022-03-23T00:00:00"/>
    <s v="Drink"/>
    <n v="5"/>
    <m/>
    <x v="1"/>
    <x v="1"/>
    <x v="1"/>
    <x v="2"/>
    <x v="1"/>
    <n v="-5"/>
  </r>
  <r>
    <d v="2022-03-24T00:00:00"/>
    <s v="Drink"/>
    <n v="5"/>
    <m/>
    <x v="1"/>
    <x v="1"/>
    <x v="1"/>
    <x v="2"/>
    <x v="2"/>
    <n v="-5"/>
  </r>
  <r>
    <d v="2022-03-25T00:00:00"/>
    <s v="Drink"/>
    <n v="5"/>
    <m/>
    <x v="1"/>
    <x v="1"/>
    <x v="1"/>
    <x v="2"/>
    <x v="3"/>
    <n v="-5"/>
  </r>
  <r>
    <d v="2022-03-26T00:00:00"/>
    <s v="Drink"/>
    <n v="5"/>
    <m/>
    <x v="1"/>
    <x v="1"/>
    <x v="1"/>
    <x v="2"/>
    <x v="4"/>
    <n v="-5"/>
  </r>
  <r>
    <d v="2022-03-26T00:00:00"/>
    <s v="Big Basket"/>
    <n v="209"/>
    <m/>
    <x v="2"/>
    <x v="2"/>
    <x v="1"/>
    <x v="2"/>
    <x v="4"/>
    <n v="-209"/>
  </r>
  <r>
    <d v="2022-03-27T00:00:00"/>
    <s v="MAX"/>
    <n v="127"/>
    <m/>
    <x v="6"/>
    <x v="4"/>
    <x v="1"/>
    <x v="2"/>
    <x v="5"/>
    <n v="-127"/>
  </r>
  <r>
    <d v="2022-03-27T00:00:00"/>
    <s v="Decathalon"/>
    <n v="177.2"/>
    <m/>
    <x v="6"/>
    <x v="4"/>
    <x v="1"/>
    <x v="2"/>
    <x v="5"/>
    <n v="-177.2"/>
  </r>
  <r>
    <d v="2022-03-28T00:00:00"/>
    <s v="West Side"/>
    <n v="147.1"/>
    <m/>
    <x v="6"/>
    <x v="4"/>
    <x v="1"/>
    <x v="2"/>
    <x v="6"/>
    <n v="-147.1"/>
  </r>
  <r>
    <d v="2022-03-28T00:00:00"/>
    <s v="Uber"/>
    <n v="25"/>
    <m/>
    <x v="9"/>
    <x v="6"/>
    <x v="1"/>
    <x v="2"/>
    <x v="6"/>
    <n v="-25"/>
  </r>
  <r>
    <d v="2022-03-29T00:00:00"/>
    <s v="The Food Factory"/>
    <n v="15"/>
    <m/>
    <x v="7"/>
    <x v="1"/>
    <x v="1"/>
    <x v="2"/>
    <x v="0"/>
    <n v="-15"/>
  </r>
  <r>
    <d v="2022-03-30T00:00:00"/>
    <s v="Drink"/>
    <n v="5"/>
    <m/>
    <x v="1"/>
    <x v="1"/>
    <x v="1"/>
    <x v="2"/>
    <x v="1"/>
    <n v="-5"/>
  </r>
  <r>
    <d v="2022-03-31T00:00:00"/>
    <s v="Drink"/>
    <n v="5"/>
    <m/>
    <x v="1"/>
    <x v="1"/>
    <x v="1"/>
    <x v="2"/>
    <x v="2"/>
    <n v="-5"/>
  </r>
  <r>
    <d v="2022-04-01T00:00:00"/>
    <s v="Data With Decision"/>
    <m/>
    <n v="5000"/>
    <x v="0"/>
    <x v="0"/>
    <x v="0"/>
    <x v="3"/>
    <x v="3"/>
    <n v="5000"/>
  </r>
  <r>
    <d v="2022-04-01T00:00:00"/>
    <s v="Drink"/>
    <n v="5"/>
    <m/>
    <x v="1"/>
    <x v="1"/>
    <x v="1"/>
    <x v="3"/>
    <x v="3"/>
    <n v="-5"/>
  </r>
  <r>
    <d v="2022-04-02T00:00:00"/>
    <s v="Big Basket"/>
    <n v="750"/>
    <m/>
    <x v="2"/>
    <x v="2"/>
    <x v="1"/>
    <x v="3"/>
    <x v="4"/>
    <n v="-750"/>
  </r>
  <r>
    <d v="2022-04-02T00:00:00"/>
    <s v="Subscription"/>
    <n v="150"/>
    <m/>
    <x v="3"/>
    <x v="3"/>
    <x v="1"/>
    <x v="3"/>
    <x v="4"/>
    <n v="-150"/>
  </r>
  <r>
    <d v="2022-04-02T00:00:00"/>
    <s v="Drink"/>
    <n v="5"/>
    <m/>
    <x v="1"/>
    <x v="1"/>
    <x v="1"/>
    <x v="3"/>
    <x v="4"/>
    <n v="-5"/>
  </r>
  <r>
    <d v="2022-04-03T00:00:00"/>
    <s v="Drink"/>
    <n v="5"/>
    <m/>
    <x v="1"/>
    <x v="1"/>
    <x v="1"/>
    <x v="3"/>
    <x v="5"/>
    <n v="-5"/>
  </r>
  <r>
    <d v="2022-04-04T00:00:00"/>
    <s v="Drink"/>
    <n v="5"/>
    <m/>
    <x v="1"/>
    <x v="1"/>
    <x v="1"/>
    <x v="3"/>
    <x v="6"/>
    <n v="-5"/>
  </r>
  <r>
    <d v="2022-04-05T00:00:00"/>
    <s v="Drink"/>
    <n v="5"/>
    <m/>
    <x v="1"/>
    <x v="1"/>
    <x v="1"/>
    <x v="3"/>
    <x v="0"/>
    <n v="-5"/>
  </r>
  <r>
    <d v="2022-04-05T00:00:00"/>
    <s v="Big Basket"/>
    <n v="158.19999999999999"/>
    <m/>
    <x v="2"/>
    <x v="2"/>
    <x v="1"/>
    <x v="3"/>
    <x v="0"/>
    <n v="-158.19999999999999"/>
  </r>
  <r>
    <d v="2022-04-08T00:00:00"/>
    <s v="Power source"/>
    <n v="53.2"/>
    <m/>
    <x v="4"/>
    <x v="2"/>
    <x v="1"/>
    <x v="3"/>
    <x v="3"/>
    <n v="-53.2"/>
  </r>
  <r>
    <d v="2022-04-08T00:00:00"/>
    <s v="Drink"/>
    <n v="5"/>
    <m/>
    <x v="1"/>
    <x v="1"/>
    <x v="1"/>
    <x v="3"/>
    <x v="3"/>
    <n v="-5"/>
  </r>
  <r>
    <d v="2022-04-09T00:00:00"/>
    <s v="Drink"/>
    <n v="5"/>
    <m/>
    <x v="1"/>
    <x v="1"/>
    <x v="1"/>
    <x v="3"/>
    <x v="4"/>
    <n v="-5"/>
  </r>
  <r>
    <d v="2022-04-10T00:00:00"/>
    <s v="Fuel"/>
    <n v="79.900000000000006"/>
    <m/>
    <x v="15"/>
    <x v="6"/>
    <x v="1"/>
    <x v="3"/>
    <x v="5"/>
    <n v="-79.900000000000006"/>
  </r>
  <r>
    <d v="2022-04-10T00:00:00"/>
    <s v="Drink"/>
    <n v="5"/>
    <m/>
    <x v="1"/>
    <x v="1"/>
    <x v="1"/>
    <x v="3"/>
    <x v="5"/>
    <n v="-5"/>
  </r>
  <r>
    <d v="2022-04-11T00:00:00"/>
    <s v="Drink"/>
    <n v="5"/>
    <m/>
    <x v="1"/>
    <x v="1"/>
    <x v="1"/>
    <x v="3"/>
    <x v="6"/>
    <n v="-5"/>
  </r>
  <r>
    <d v="2022-04-12T00:00:00"/>
    <s v="Big Basket"/>
    <n v="98"/>
    <m/>
    <x v="2"/>
    <x v="2"/>
    <x v="1"/>
    <x v="3"/>
    <x v="0"/>
    <n v="-98"/>
  </r>
  <r>
    <d v="2022-04-12T00:00:00"/>
    <s v="Drink"/>
    <n v="5"/>
    <m/>
    <x v="1"/>
    <x v="1"/>
    <x v="1"/>
    <x v="3"/>
    <x v="0"/>
    <n v="-5"/>
  </r>
  <r>
    <d v="2022-04-13T00:00:00"/>
    <s v="Drink"/>
    <n v="5"/>
    <m/>
    <x v="1"/>
    <x v="1"/>
    <x v="1"/>
    <x v="3"/>
    <x v="1"/>
    <n v="-5"/>
  </r>
  <r>
    <d v="2022-04-13T00:00:00"/>
    <s v="Cinemas"/>
    <n v="42.8"/>
    <m/>
    <x v="5"/>
    <x v="4"/>
    <x v="1"/>
    <x v="3"/>
    <x v="1"/>
    <n v="-42.8"/>
  </r>
  <r>
    <d v="2022-04-13T00:00:00"/>
    <s v="MAX"/>
    <n v="100.9"/>
    <m/>
    <x v="6"/>
    <x v="4"/>
    <x v="1"/>
    <x v="3"/>
    <x v="1"/>
    <n v="-100.9"/>
  </r>
  <r>
    <d v="2022-04-13T00:00:00"/>
    <s v="Taco"/>
    <n v="54.9"/>
    <m/>
    <x v="7"/>
    <x v="1"/>
    <x v="1"/>
    <x v="3"/>
    <x v="1"/>
    <n v="-54.9"/>
  </r>
  <r>
    <d v="2022-04-14T00:00:00"/>
    <s v="Uber"/>
    <n v="31"/>
    <m/>
    <x v="9"/>
    <x v="6"/>
    <x v="1"/>
    <x v="3"/>
    <x v="2"/>
    <n v="-31"/>
  </r>
  <r>
    <d v="2022-04-15T00:00:00"/>
    <s v="Income"/>
    <m/>
    <n v="2340"/>
    <x v="10"/>
    <x v="7"/>
    <x v="0"/>
    <x v="3"/>
    <x v="3"/>
    <n v="2340"/>
  </r>
  <r>
    <d v="2022-04-15T00:00:00"/>
    <s v="Drink"/>
    <n v="5"/>
    <m/>
    <x v="1"/>
    <x v="1"/>
    <x v="1"/>
    <x v="3"/>
    <x v="3"/>
    <n v="-5"/>
  </r>
  <r>
    <d v="2022-04-16T00:00:00"/>
    <s v="Drink"/>
    <n v="5"/>
    <m/>
    <x v="1"/>
    <x v="1"/>
    <x v="1"/>
    <x v="3"/>
    <x v="4"/>
    <n v="-5"/>
  </r>
  <r>
    <d v="2022-04-16T00:00:00"/>
    <s v="Phone"/>
    <n v="40"/>
    <m/>
    <x v="12"/>
    <x v="2"/>
    <x v="1"/>
    <x v="3"/>
    <x v="4"/>
    <n v="-40"/>
  </r>
  <r>
    <d v="2022-04-17T00:00:00"/>
    <s v="Birthday"/>
    <n v="47.9"/>
    <m/>
    <x v="13"/>
    <x v="4"/>
    <x v="1"/>
    <x v="3"/>
    <x v="5"/>
    <n v="-47.9"/>
  </r>
  <r>
    <d v="2022-04-17T00:00:00"/>
    <s v="Online streaming"/>
    <n v="35"/>
    <m/>
    <x v="5"/>
    <x v="4"/>
    <x v="1"/>
    <x v="3"/>
    <x v="5"/>
    <n v="-35"/>
  </r>
  <r>
    <d v="2022-04-17T00:00:00"/>
    <s v="Drink"/>
    <n v="5"/>
    <m/>
    <x v="1"/>
    <x v="1"/>
    <x v="1"/>
    <x v="3"/>
    <x v="5"/>
    <n v="-5"/>
  </r>
  <r>
    <d v="2022-04-18T00:00:00"/>
    <s v="Drink"/>
    <n v="5"/>
    <m/>
    <x v="1"/>
    <x v="1"/>
    <x v="1"/>
    <x v="3"/>
    <x v="6"/>
    <n v="-5"/>
  </r>
  <r>
    <d v="2022-04-19T00:00:00"/>
    <s v="Drink"/>
    <n v="5"/>
    <m/>
    <x v="1"/>
    <x v="1"/>
    <x v="1"/>
    <x v="3"/>
    <x v="0"/>
    <n v="-5"/>
  </r>
  <r>
    <d v="2022-04-19T00:00:00"/>
    <s v="Big Basket"/>
    <n v="173"/>
    <m/>
    <x v="2"/>
    <x v="2"/>
    <x v="1"/>
    <x v="3"/>
    <x v="0"/>
    <n v="-173"/>
  </r>
  <r>
    <d v="2022-04-20T00:00:00"/>
    <s v="Fritters"/>
    <n v="40.1"/>
    <m/>
    <x v="7"/>
    <x v="1"/>
    <x v="1"/>
    <x v="3"/>
    <x v="1"/>
    <n v="-40.1"/>
  </r>
  <r>
    <d v="2022-04-21T00:00:00"/>
    <s v="Hot chocolate"/>
    <n v="15.1"/>
    <m/>
    <x v="7"/>
    <x v="1"/>
    <x v="1"/>
    <x v="3"/>
    <x v="2"/>
    <n v="-15.1"/>
  </r>
  <r>
    <d v="2022-04-22T00:00:00"/>
    <s v="Orphanage"/>
    <n v="55"/>
    <m/>
    <x v="14"/>
    <x v="8"/>
    <x v="1"/>
    <x v="3"/>
    <x v="3"/>
    <n v="-55"/>
  </r>
  <r>
    <d v="2022-04-22T00:00:00"/>
    <s v="Taken medication"/>
    <n v="10"/>
    <m/>
    <x v="8"/>
    <x v="5"/>
    <x v="1"/>
    <x v="3"/>
    <x v="3"/>
    <n v="-10"/>
  </r>
  <r>
    <d v="2022-04-22T00:00:00"/>
    <s v="Fuel"/>
    <n v="66"/>
    <m/>
    <x v="15"/>
    <x v="6"/>
    <x v="1"/>
    <x v="3"/>
    <x v="3"/>
    <n v="-66"/>
  </r>
  <r>
    <d v="2022-04-22T00:00:00"/>
    <s v="Drink"/>
    <n v="5"/>
    <m/>
    <x v="1"/>
    <x v="1"/>
    <x v="1"/>
    <x v="3"/>
    <x v="3"/>
    <n v="-5"/>
  </r>
  <r>
    <d v="2022-04-23T00:00:00"/>
    <s v="Drink"/>
    <n v="5"/>
    <m/>
    <x v="1"/>
    <x v="1"/>
    <x v="1"/>
    <x v="3"/>
    <x v="4"/>
    <n v="-5"/>
  </r>
  <r>
    <d v="2022-04-24T00:00:00"/>
    <s v="Drink"/>
    <n v="5"/>
    <m/>
    <x v="1"/>
    <x v="1"/>
    <x v="1"/>
    <x v="3"/>
    <x v="5"/>
    <n v="-5"/>
  </r>
  <r>
    <d v="2022-04-25T00:00:00"/>
    <s v="Drink"/>
    <n v="5"/>
    <m/>
    <x v="1"/>
    <x v="1"/>
    <x v="1"/>
    <x v="3"/>
    <x v="6"/>
    <n v="-5"/>
  </r>
  <r>
    <d v="2022-04-26T00:00:00"/>
    <s v="Drink"/>
    <n v="5"/>
    <m/>
    <x v="1"/>
    <x v="1"/>
    <x v="1"/>
    <x v="3"/>
    <x v="0"/>
    <n v="-5"/>
  </r>
  <r>
    <d v="2022-04-26T00:00:00"/>
    <s v="Big Basket"/>
    <n v="164.9"/>
    <m/>
    <x v="2"/>
    <x v="2"/>
    <x v="1"/>
    <x v="3"/>
    <x v="0"/>
    <n v="-164.9"/>
  </r>
  <r>
    <d v="2022-04-27T00:00:00"/>
    <s v="MAX"/>
    <n v="127.9"/>
    <m/>
    <x v="6"/>
    <x v="4"/>
    <x v="1"/>
    <x v="3"/>
    <x v="1"/>
    <n v="-127.9"/>
  </r>
  <r>
    <d v="2022-04-27T00:00:00"/>
    <s v="Clubing"/>
    <n v="300"/>
    <m/>
    <x v="5"/>
    <x v="4"/>
    <x v="1"/>
    <x v="3"/>
    <x v="1"/>
    <n v="-300"/>
  </r>
  <r>
    <d v="2022-04-28T00:00:00"/>
    <s v="Centerpoint"/>
    <n v="148.1"/>
    <m/>
    <x v="6"/>
    <x v="4"/>
    <x v="1"/>
    <x v="3"/>
    <x v="2"/>
    <n v="-148.1"/>
  </r>
  <r>
    <d v="2022-04-28T00:00:00"/>
    <s v="Uber"/>
    <n v="26.1"/>
    <m/>
    <x v="9"/>
    <x v="6"/>
    <x v="1"/>
    <x v="3"/>
    <x v="2"/>
    <n v="-26.1"/>
  </r>
  <r>
    <d v="2022-04-29T00:00:00"/>
    <s v="Thomson Casa"/>
    <n v="15"/>
    <m/>
    <x v="7"/>
    <x v="1"/>
    <x v="1"/>
    <x v="3"/>
    <x v="3"/>
    <n v="-15"/>
  </r>
  <r>
    <d v="2022-04-29T00:00:00"/>
    <s v="Drink"/>
    <n v="5"/>
    <m/>
    <x v="1"/>
    <x v="1"/>
    <x v="1"/>
    <x v="3"/>
    <x v="3"/>
    <n v="-5"/>
  </r>
  <r>
    <d v="2022-04-30T00:00:00"/>
    <s v="Drink"/>
    <n v="5"/>
    <m/>
    <x v="1"/>
    <x v="1"/>
    <x v="1"/>
    <x v="3"/>
    <x v="4"/>
    <n v="-5"/>
  </r>
  <r>
    <d v="2022-05-02T00:00:00"/>
    <s v="Drink"/>
    <n v="5"/>
    <m/>
    <x v="1"/>
    <x v="1"/>
    <x v="1"/>
    <x v="4"/>
    <x v="6"/>
    <n v="-5"/>
  </r>
  <r>
    <d v="2022-05-03T00:00:00"/>
    <s v="Data With Decision"/>
    <m/>
    <n v="5000"/>
    <x v="0"/>
    <x v="0"/>
    <x v="0"/>
    <x v="4"/>
    <x v="0"/>
    <n v="5000"/>
  </r>
  <r>
    <d v="2022-05-03T00:00:00"/>
    <s v="Big Basket"/>
    <n v="875"/>
    <m/>
    <x v="2"/>
    <x v="2"/>
    <x v="1"/>
    <x v="4"/>
    <x v="0"/>
    <n v="-875"/>
  </r>
  <r>
    <d v="2022-05-03T00:00:00"/>
    <s v="Subscription"/>
    <n v="150"/>
    <m/>
    <x v="3"/>
    <x v="3"/>
    <x v="1"/>
    <x v="4"/>
    <x v="0"/>
    <n v="-150"/>
  </r>
  <r>
    <d v="2022-05-03T00:00:00"/>
    <s v="Drink"/>
    <n v="5"/>
    <m/>
    <x v="1"/>
    <x v="1"/>
    <x v="1"/>
    <x v="4"/>
    <x v="0"/>
    <n v="-5"/>
  </r>
  <r>
    <d v="2022-05-04T00:00:00"/>
    <s v="Drink"/>
    <n v="5"/>
    <m/>
    <x v="1"/>
    <x v="1"/>
    <x v="1"/>
    <x v="4"/>
    <x v="1"/>
    <n v="-5"/>
  </r>
  <r>
    <d v="2022-05-05T00:00:00"/>
    <s v="Drink"/>
    <n v="5"/>
    <m/>
    <x v="1"/>
    <x v="1"/>
    <x v="1"/>
    <x v="4"/>
    <x v="2"/>
    <n v="-5"/>
  </r>
  <r>
    <d v="2022-05-06T00:00:00"/>
    <s v="Drink"/>
    <n v="5"/>
    <m/>
    <x v="1"/>
    <x v="1"/>
    <x v="1"/>
    <x v="4"/>
    <x v="3"/>
    <n v="-5"/>
  </r>
  <r>
    <d v="2022-05-06T00:00:00"/>
    <s v="Big Basket"/>
    <n v="170"/>
    <m/>
    <x v="2"/>
    <x v="2"/>
    <x v="1"/>
    <x v="4"/>
    <x v="3"/>
    <n v="-170"/>
  </r>
  <r>
    <d v="2022-05-09T00:00:00"/>
    <s v="Power source"/>
    <n v="54.1"/>
    <m/>
    <x v="4"/>
    <x v="2"/>
    <x v="1"/>
    <x v="4"/>
    <x v="6"/>
    <n v="-54.1"/>
  </r>
  <r>
    <d v="2022-05-09T00:00:00"/>
    <s v="Drink"/>
    <n v="5"/>
    <m/>
    <x v="1"/>
    <x v="1"/>
    <x v="1"/>
    <x v="4"/>
    <x v="6"/>
    <n v="-5"/>
  </r>
  <r>
    <d v="2022-05-10T00:00:00"/>
    <s v="Drink"/>
    <n v="5"/>
    <m/>
    <x v="1"/>
    <x v="1"/>
    <x v="1"/>
    <x v="4"/>
    <x v="0"/>
    <n v="-5"/>
  </r>
  <r>
    <d v="2022-05-11T00:00:00"/>
    <s v="Fuel"/>
    <n v="81"/>
    <m/>
    <x v="15"/>
    <x v="6"/>
    <x v="1"/>
    <x v="4"/>
    <x v="1"/>
    <n v="-81"/>
  </r>
  <r>
    <d v="2022-05-11T00:00:00"/>
    <s v="Drink"/>
    <n v="5"/>
    <m/>
    <x v="1"/>
    <x v="1"/>
    <x v="1"/>
    <x v="4"/>
    <x v="1"/>
    <n v="-5"/>
  </r>
  <r>
    <d v="2022-05-12T00:00:00"/>
    <s v="Drink"/>
    <n v="5"/>
    <m/>
    <x v="1"/>
    <x v="1"/>
    <x v="1"/>
    <x v="4"/>
    <x v="2"/>
    <n v="-5"/>
  </r>
  <r>
    <d v="2022-05-13T00:00:00"/>
    <s v="Big Basket"/>
    <n v="139.1"/>
    <m/>
    <x v="2"/>
    <x v="2"/>
    <x v="1"/>
    <x v="4"/>
    <x v="3"/>
    <n v="-139.1"/>
  </r>
  <r>
    <d v="2022-05-13T00:00:00"/>
    <s v="Drink"/>
    <n v="5"/>
    <m/>
    <x v="1"/>
    <x v="1"/>
    <x v="1"/>
    <x v="4"/>
    <x v="3"/>
    <n v="-5"/>
  </r>
  <r>
    <d v="2022-05-14T00:00:00"/>
    <s v="Drink"/>
    <n v="5"/>
    <m/>
    <x v="1"/>
    <x v="1"/>
    <x v="1"/>
    <x v="4"/>
    <x v="4"/>
    <n v="-5"/>
  </r>
  <r>
    <d v="2022-05-14T00:00:00"/>
    <s v="Cinemas"/>
    <n v="43.9"/>
    <m/>
    <x v="5"/>
    <x v="4"/>
    <x v="1"/>
    <x v="4"/>
    <x v="4"/>
    <n v="-43.9"/>
  </r>
  <r>
    <d v="2022-05-14T00:00:00"/>
    <s v="Redtag"/>
    <n v="101.80000000000001"/>
    <m/>
    <x v="6"/>
    <x v="4"/>
    <x v="1"/>
    <x v="4"/>
    <x v="4"/>
    <n v="-101.80000000000001"/>
  </r>
  <r>
    <d v="2022-05-14T00:00:00"/>
    <s v="Burger"/>
    <n v="55.9"/>
    <m/>
    <x v="7"/>
    <x v="1"/>
    <x v="1"/>
    <x v="4"/>
    <x v="4"/>
    <n v="-55.9"/>
  </r>
  <r>
    <d v="2022-05-15T00:00:00"/>
    <s v="Uber"/>
    <n v="32"/>
    <m/>
    <x v="9"/>
    <x v="6"/>
    <x v="1"/>
    <x v="4"/>
    <x v="5"/>
    <n v="-32"/>
  </r>
  <r>
    <d v="2022-05-16T00:00:00"/>
    <s v="Income"/>
    <m/>
    <n v="1000"/>
    <x v="17"/>
    <x v="7"/>
    <x v="0"/>
    <x v="4"/>
    <x v="6"/>
    <n v="1000"/>
  </r>
  <r>
    <d v="2022-05-16T00:00:00"/>
    <s v="Drink"/>
    <n v="5"/>
    <m/>
    <x v="1"/>
    <x v="1"/>
    <x v="1"/>
    <x v="4"/>
    <x v="6"/>
    <n v="-5"/>
  </r>
  <r>
    <d v="2022-05-17T00:00:00"/>
    <s v="Drink"/>
    <n v="5"/>
    <m/>
    <x v="1"/>
    <x v="1"/>
    <x v="1"/>
    <x v="4"/>
    <x v="0"/>
    <n v="-5"/>
  </r>
  <r>
    <d v="2022-05-17T00:00:00"/>
    <s v="Taken medication"/>
    <n v="75"/>
    <m/>
    <x v="16"/>
    <x v="5"/>
    <x v="1"/>
    <x v="4"/>
    <x v="0"/>
    <n v="-75"/>
  </r>
  <r>
    <d v="2022-05-17T00:00:00"/>
    <s v="Phone"/>
    <n v="40"/>
    <m/>
    <x v="12"/>
    <x v="2"/>
    <x v="1"/>
    <x v="4"/>
    <x v="0"/>
    <n v="-40"/>
  </r>
  <r>
    <d v="2022-05-18T00:00:00"/>
    <s v="Birthday"/>
    <n v="49"/>
    <m/>
    <x v="13"/>
    <x v="4"/>
    <x v="1"/>
    <x v="4"/>
    <x v="1"/>
    <n v="-49"/>
  </r>
  <r>
    <d v="2022-05-18T00:00:00"/>
    <s v="Online streaming"/>
    <n v="35"/>
    <m/>
    <x v="5"/>
    <x v="4"/>
    <x v="1"/>
    <x v="4"/>
    <x v="1"/>
    <n v="-35"/>
  </r>
  <r>
    <d v="2022-05-18T00:00:00"/>
    <s v="Drink"/>
    <n v="5"/>
    <m/>
    <x v="1"/>
    <x v="1"/>
    <x v="1"/>
    <x v="4"/>
    <x v="1"/>
    <n v="-5"/>
  </r>
  <r>
    <d v="2022-05-19T00:00:00"/>
    <s v="Drink"/>
    <n v="5"/>
    <m/>
    <x v="1"/>
    <x v="1"/>
    <x v="1"/>
    <x v="4"/>
    <x v="2"/>
    <n v="-5"/>
  </r>
  <r>
    <d v="2022-05-20T00:00:00"/>
    <s v="Drink"/>
    <n v="5"/>
    <m/>
    <x v="1"/>
    <x v="1"/>
    <x v="1"/>
    <x v="4"/>
    <x v="3"/>
    <n v="-5"/>
  </r>
  <r>
    <d v="2022-05-20T00:00:00"/>
    <s v="Big Basket"/>
    <n v="174"/>
    <m/>
    <x v="2"/>
    <x v="2"/>
    <x v="1"/>
    <x v="4"/>
    <x v="3"/>
    <n v="-174"/>
  </r>
  <r>
    <d v="2022-05-21T00:00:00"/>
    <s v="Spring Roll"/>
    <n v="41.1"/>
    <m/>
    <x v="7"/>
    <x v="1"/>
    <x v="1"/>
    <x v="4"/>
    <x v="4"/>
    <n v="-41.1"/>
  </r>
  <r>
    <d v="2022-05-22T00:00:00"/>
    <s v="Soup"/>
    <n v="16.2"/>
    <m/>
    <x v="7"/>
    <x v="1"/>
    <x v="1"/>
    <x v="4"/>
    <x v="5"/>
    <n v="-16.2"/>
  </r>
  <r>
    <d v="2022-05-23T00:00:00"/>
    <s v="Orphanage"/>
    <n v="55"/>
    <m/>
    <x v="14"/>
    <x v="8"/>
    <x v="1"/>
    <x v="4"/>
    <x v="6"/>
    <n v="-55"/>
  </r>
  <r>
    <d v="2022-05-23T00:00:00"/>
    <s v="Fuel"/>
    <n v="67"/>
    <m/>
    <x v="15"/>
    <x v="6"/>
    <x v="1"/>
    <x v="4"/>
    <x v="6"/>
    <n v="-67"/>
  </r>
  <r>
    <d v="2022-05-23T00:00:00"/>
    <s v="Drink"/>
    <n v="5"/>
    <m/>
    <x v="1"/>
    <x v="1"/>
    <x v="1"/>
    <x v="4"/>
    <x v="6"/>
    <n v="-5"/>
  </r>
  <r>
    <d v="2022-05-24T00:00:00"/>
    <s v="Drink"/>
    <n v="5"/>
    <m/>
    <x v="1"/>
    <x v="1"/>
    <x v="1"/>
    <x v="4"/>
    <x v="0"/>
    <n v="-5"/>
  </r>
  <r>
    <d v="2022-05-25T00:00:00"/>
    <s v="Drink"/>
    <n v="5"/>
    <m/>
    <x v="1"/>
    <x v="1"/>
    <x v="1"/>
    <x v="4"/>
    <x v="1"/>
    <n v="-5"/>
  </r>
  <r>
    <d v="2022-05-26T00:00:00"/>
    <s v="Drink"/>
    <n v="5"/>
    <m/>
    <x v="1"/>
    <x v="1"/>
    <x v="1"/>
    <x v="4"/>
    <x v="2"/>
    <n v="-5"/>
  </r>
  <r>
    <d v="2022-05-27T00:00:00"/>
    <s v="Drink"/>
    <n v="5"/>
    <m/>
    <x v="1"/>
    <x v="1"/>
    <x v="1"/>
    <x v="4"/>
    <x v="3"/>
    <n v="-5"/>
  </r>
  <r>
    <d v="2022-05-27T00:00:00"/>
    <s v="Big Basket"/>
    <n v="165.8"/>
    <m/>
    <x v="2"/>
    <x v="2"/>
    <x v="1"/>
    <x v="4"/>
    <x v="3"/>
    <n v="-165.8"/>
  </r>
  <r>
    <d v="2022-05-28T00:00:00"/>
    <s v="MAX"/>
    <n v="128.80000000000001"/>
    <m/>
    <x v="6"/>
    <x v="4"/>
    <x v="1"/>
    <x v="4"/>
    <x v="4"/>
    <n v="-128.80000000000001"/>
  </r>
  <r>
    <d v="2022-05-28T00:00:00"/>
    <s v="Home décor"/>
    <n v="235"/>
    <m/>
    <x v="19"/>
    <x v="4"/>
    <x v="1"/>
    <x v="4"/>
    <x v="4"/>
    <n v="-235"/>
  </r>
  <r>
    <d v="2022-05-29T00:00:00"/>
    <s v="Fashionistas"/>
    <n v="149.19999999999999"/>
    <m/>
    <x v="6"/>
    <x v="4"/>
    <x v="1"/>
    <x v="4"/>
    <x v="5"/>
    <n v="-149.19999999999999"/>
  </r>
  <r>
    <d v="2022-05-29T00:00:00"/>
    <s v="Uber"/>
    <n v="27.200000000000003"/>
    <m/>
    <x v="9"/>
    <x v="6"/>
    <x v="1"/>
    <x v="4"/>
    <x v="5"/>
    <n v="-27.200000000000003"/>
  </r>
  <r>
    <d v="2022-05-31T00:00:00"/>
    <s v="Foodary"/>
    <n v="15"/>
    <m/>
    <x v="7"/>
    <x v="1"/>
    <x v="1"/>
    <x v="4"/>
    <x v="0"/>
    <n v="-15"/>
  </r>
  <r>
    <d v="2022-05-30T00:00:00"/>
    <s v="Drink"/>
    <n v="5"/>
    <m/>
    <x v="1"/>
    <x v="1"/>
    <x v="1"/>
    <x v="4"/>
    <x v="6"/>
    <n v="-5"/>
  </r>
  <r>
    <d v="2022-05-31T00:00:00"/>
    <s v="Drink"/>
    <n v="5"/>
    <m/>
    <x v="1"/>
    <x v="1"/>
    <x v="1"/>
    <x v="4"/>
    <x v="0"/>
    <n v="-5"/>
  </r>
  <r>
    <d v="2022-06-01T00:00:00"/>
    <s v="Data With Decision"/>
    <m/>
    <n v="5000"/>
    <x v="0"/>
    <x v="0"/>
    <x v="0"/>
    <x v="5"/>
    <x v="1"/>
    <n v="5000"/>
  </r>
  <r>
    <d v="2022-06-03T00:00:00"/>
    <s v="Drink"/>
    <n v="5"/>
    <m/>
    <x v="1"/>
    <x v="1"/>
    <x v="1"/>
    <x v="5"/>
    <x v="3"/>
    <n v="-5"/>
  </r>
  <r>
    <d v="2022-06-03T00:00:00"/>
    <s v="Big Basket"/>
    <n v="650"/>
    <m/>
    <x v="2"/>
    <x v="2"/>
    <x v="1"/>
    <x v="5"/>
    <x v="3"/>
    <n v="-650"/>
  </r>
  <r>
    <d v="2022-06-03T00:00:00"/>
    <s v="Subscription"/>
    <n v="150"/>
    <m/>
    <x v="3"/>
    <x v="3"/>
    <x v="1"/>
    <x v="5"/>
    <x v="3"/>
    <n v="-150"/>
  </r>
  <r>
    <d v="2022-06-03T00:00:00"/>
    <s v="Drink"/>
    <n v="5"/>
    <m/>
    <x v="1"/>
    <x v="1"/>
    <x v="1"/>
    <x v="5"/>
    <x v="3"/>
    <n v="-5"/>
  </r>
  <r>
    <d v="2022-06-04T00:00:00"/>
    <s v="Drink"/>
    <n v="5"/>
    <m/>
    <x v="1"/>
    <x v="1"/>
    <x v="1"/>
    <x v="5"/>
    <x v="4"/>
    <n v="-5"/>
  </r>
  <r>
    <d v="2022-06-05T00:00:00"/>
    <s v="Drink"/>
    <n v="5"/>
    <m/>
    <x v="1"/>
    <x v="1"/>
    <x v="1"/>
    <x v="5"/>
    <x v="5"/>
    <n v="-5"/>
  </r>
  <r>
    <d v="2022-06-06T00:00:00"/>
    <s v="Drink"/>
    <n v="5"/>
    <m/>
    <x v="1"/>
    <x v="1"/>
    <x v="1"/>
    <x v="5"/>
    <x v="6"/>
    <n v="-5"/>
  </r>
  <r>
    <d v="2022-06-06T00:00:00"/>
    <s v="Big Basket"/>
    <n v="119"/>
    <m/>
    <x v="2"/>
    <x v="2"/>
    <x v="1"/>
    <x v="5"/>
    <x v="6"/>
    <n v="-119"/>
  </r>
  <r>
    <d v="2022-06-09T00:00:00"/>
    <s v="Power source"/>
    <n v="55"/>
    <m/>
    <x v="4"/>
    <x v="2"/>
    <x v="1"/>
    <x v="5"/>
    <x v="2"/>
    <n v="-55"/>
  </r>
  <r>
    <d v="2022-06-09T00:00:00"/>
    <s v="Drink"/>
    <n v="5"/>
    <m/>
    <x v="1"/>
    <x v="1"/>
    <x v="1"/>
    <x v="5"/>
    <x v="2"/>
    <n v="-5"/>
  </r>
  <r>
    <d v="2022-06-10T00:00:00"/>
    <s v="Drink"/>
    <n v="5"/>
    <m/>
    <x v="1"/>
    <x v="1"/>
    <x v="1"/>
    <x v="5"/>
    <x v="3"/>
    <n v="-5"/>
  </r>
  <r>
    <d v="2022-06-11T00:00:00"/>
    <s v="Fuel"/>
    <n v="82.1"/>
    <m/>
    <x v="15"/>
    <x v="6"/>
    <x v="1"/>
    <x v="5"/>
    <x v="4"/>
    <n v="-82.1"/>
  </r>
  <r>
    <d v="2022-06-11T00:00:00"/>
    <s v="Drink"/>
    <n v="5"/>
    <m/>
    <x v="1"/>
    <x v="1"/>
    <x v="1"/>
    <x v="5"/>
    <x v="4"/>
    <n v="-5"/>
  </r>
  <r>
    <d v="2022-06-12T00:00:00"/>
    <s v="Drink"/>
    <n v="5"/>
    <m/>
    <x v="1"/>
    <x v="1"/>
    <x v="1"/>
    <x v="5"/>
    <x v="5"/>
    <n v="-5"/>
  </r>
  <r>
    <d v="2022-06-13T00:00:00"/>
    <s v="Big Basket"/>
    <n v="140.19999999999999"/>
    <m/>
    <x v="2"/>
    <x v="2"/>
    <x v="1"/>
    <x v="5"/>
    <x v="6"/>
    <n v="-140.19999999999999"/>
  </r>
  <r>
    <d v="2022-06-13T00:00:00"/>
    <s v="Drink"/>
    <n v="5"/>
    <m/>
    <x v="1"/>
    <x v="1"/>
    <x v="1"/>
    <x v="5"/>
    <x v="6"/>
    <n v="-5"/>
  </r>
  <r>
    <d v="2022-06-14T00:00:00"/>
    <s v="Drink"/>
    <n v="5"/>
    <m/>
    <x v="1"/>
    <x v="1"/>
    <x v="1"/>
    <x v="5"/>
    <x v="0"/>
    <n v="-5"/>
  </r>
  <r>
    <d v="2022-06-14T00:00:00"/>
    <s v="Cinemas"/>
    <n v="44.9"/>
    <m/>
    <x v="5"/>
    <x v="4"/>
    <x v="1"/>
    <x v="5"/>
    <x v="0"/>
    <n v="-44.9"/>
  </r>
  <r>
    <d v="2022-06-14T00:00:00"/>
    <s v="Online learning"/>
    <n v="102.9"/>
    <m/>
    <x v="18"/>
    <x v="3"/>
    <x v="1"/>
    <x v="5"/>
    <x v="0"/>
    <n v="-102.9"/>
  </r>
  <r>
    <d v="2022-06-14T00:00:00"/>
    <s v="Burger"/>
    <n v="56.9"/>
    <m/>
    <x v="7"/>
    <x v="1"/>
    <x v="1"/>
    <x v="5"/>
    <x v="0"/>
    <n v="-56.9"/>
  </r>
  <r>
    <d v="2022-06-15T00:00:00"/>
    <s v="Uber"/>
    <n v="33.1"/>
    <m/>
    <x v="9"/>
    <x v="6"/>
    <x v="1"/>
    <x v="5"/>
    <x v="1"/>
    <n v="-33.1"/>
  </r>
  <r>
    <d v="2022-06-16T00:00:00"/>
    <s v="Income"/>
    <m/>
    <n v="100"/>
    <x v="10"/>
    <x v="7"/>
    <x v="0"/>
    <x v="5"/>
    <x v="2"/>
    <n v="100"/>
  </r>
  <r>
    <d v="2022-06-16T00:00:00"/>
    <s v="Drink"/>
    <n v="5"/>
    <m/>
    <x v="1"/>
    <x v="1"/>
    <x v="1"/>
    <x v="5"/>
    <x v="2"/>
    <n v="-5"/>
  </r>
  <r>
    <d v="2022-06-17T00:00:00"/>
    <s v="Drink"/>
    <n v="5"/>
    <m/>
    <x v="1"/>
    <x v="1"/>
    <x v="1"/>
    <x v="5"/>
    <x v="3"/>
    <n v="-5"/>
  </r>
  <r>
    <d v="2022-06-17T00:00:00"/>
    <s v="Phone"/>
    <n v="40"/>
    <m/>
    <x v="12"/>
    <x v="2"/>
    <x v="1"/>
    <x v="5"/>
    <x v="3"/>
    <n v="-40"/>
  </r>
  <r>
    <d v="2022-06-18T00:00:00"/>
    <s v="Birthday"/>
    <n v="50.1"/>
    <m/>
    <x v="13"/>
    <x v="4"/>
    <x v="1"/>
    <x v="5"/>
    <x v="4"/>
    <n v="-50.1"/>
  </r>
  <r>
    <d v="2022-06-18T00:00:00"/>
    <s v="Online streaming"/>
    <n v="35"/>
    <m/>
    <x v="5"/>
    <x v="4"/>
    <x v="1"/>
    <x v="5"/>
    <x v="4"/>
    <n v="-35"/>
  </r>
  <r>
    <d v="2022-06-18T00:00:00"/>
    <s v="Drink"/>
    <n v="5"/>
    <m/>
    <x v="1"/>
    <x v="1"/>
    <x v="1"/>
    <x v="5"/>
    <x v="4"/>
    <n v="-5"/>
  </r>
  <r>
    <d v="2022-06-19T00:00:00"/>
    <s v="Taken medication"/>
    <n v="20"/>
    <m/>
    <x v="8"/>
    <x v="5"/>
    <x v="1"/>
    <x v="5"/>
    <x v="5"/>
    <n v="-20"/>
  </r>
  <r>
    <d v="2022-06-19T00:00:00"/>
    <s v="Drink"/>
    <n v="5"/>
    <m/>
    <x v="1"/>
    <x v="1"/>
    <x v="1"/>
    <x v="5"/>
    <x v="5"/>
    <n v="-5"/>
  </r>
  <r>
    <d v="2022-06-20T00:00:00"/>
    <s v="Drink"/>
    <n v="5"/>
    <m/>
    <x v="1"/>
    <x v="1"/>
    <x v="1"/>
    <x v="5"/>
    <x v="6"/>
    <n v="-5"/>
  </r>
  <r>
    <d v="2022-06-20T00:00:00"/>
    <s v="Big Basket"/>
    <n v="234"/>
    <m/>
    <x v="2"/>
    <x v="2"/>
    <x v="1"/>
    <x v="5"/>
    <x v="6"/>
    <n v="-234"/>
  </r>
  <r>
    <d v="2022-06-21T00:00:00"/>
    <s v="Starbucks"/>
    <n v="42.1"/>
    <m/>
    <x v="7"/>
    <x v="1"/>
    <x v="1"/>
    <x v="5"/>
    <x v="0"/>
    <n v="-42.1"/>
  </r>
  <r>
    <d v="2022-06-22T00:00:00"/>
    <s v="Roasttown"/>
    <n v="17.099999999999998"/>
    <m/>
    <x v="7"/>
    <x v="1"/>
    <x v="1"/>
    <x v="5"/>
    <x v="1"/>
    <n v="-17.099999999999998"/>
  </r>
  <r>
    <d v="2022-06-23T00:00:00"/>
    <s v="Orphanage"/>
    <n v="55"/>
    <m/>
    <x v="14"/>
    <x v="8"/>
    <x v="1"/>
    <x v="5"/>
    <x v="2"/>
    <n v="-55"/>
  </r>
  <r>
    <d v="2022-06-23T00:00:00"/>
    <s v="Fuel"/>
    <n v="67.900000000000006"/>
    <m/>
    <x v="15"/>
    <x v="6"/>
    <x v="1"/>
    <x v="5"/>
    <x v="2"/>
    <n v="-67.900000000000006"/>
  </r>
  <r>
    <d v="2022-06-23T00:00:00"/>
    <s v="Drink"/>
    <n v="5"/>
    <m/>
    <x v="1"/>
    <x v="1"/>
    <x v="1"/>
    <x v="5"/>
    <x v="2"/>
    <n v="-5"/>
  </r>
  <r>
    <d v="2022-06-24T00:00:00"/>
    <s v="Drink"/>
    <n v="5"/>
    <m/>
    <x v="1"/>
    <x v="1"/>
    <x v="1"/>
    <x v="5"/>
    <x v="3"/>
    <n v="-5"/>
  </r>
  <r>
    <d v="2022-06-25T00:00:00"/>
    <s v="Drink"/>
    <n v="5"/>
    <m/>
    <x v="1"/>
    <x v="1"/>
    <x v="1"/>
    <x v="5"/>
    <x v="4"/>
    <n v="-5"/>
  </r>
  <r>
    <d v="2022-06-26T00:00:00"/>
    <s v="Drink"/>
    <n v="5"/>
    <m/>
    <x v="1"/>
    <x v="1"/>
    <x v="1"/>
    <x v="5"/>
    <x v="5"/>
    <n v="-5"/>
  </r>
  <r>
    <d v="2022-06-27T00:00:00"/>
    <s v="Drink"/>
    <n v="5"/>
    <m/>
    <x v="1"/>
    <x v="1"/>
    <x v="1"/>
    <x v="5"/>
    <x v="6"/>
    <n v="-5"/>
  </r>
  <r>
    <d v="2022-06-27T00:00:00"/>
    <s v="Big Basket"/>
    <n v="166.9"/>
    <m/>
    <x v="2"/>
    <x v="2"/>
    <x v="1"/>
    <x v="5"/>
    <x v="6"/>
    <n v="-166.9"/>
  </r>
  <r>
    <d v="2022-06-28T00:00:00"/>
    <s v="MAX"/>
    <n v="129.9"/>
    <m/>
    <x v="6"/>
    <x v="4"/>
    <x v="1"/>
    <x v="5"/>
    <x v="0"/>
    <n v="-129.9"/>
  </r>
  <r>
    <d v="2022-06-28T00:00:00"/>
    <s v="Hangingout/Ticket"/>
    <n v="180.29999999999998"/>
    <m/>
    <x v="5"/>
    <x v="4"/>
    <x v="1"/>
    <x v="5"/>
    <x v="0"/>
    <n v="-180.29999999999998"/>
  </r>
  <r>
    <d v="2022-06-29T00:00:00"/>
    <s v="West Side"/>
    <n v="150.1"/>
    <m/>
    <x v="6"/>
    <x v="4"/>
    <x v="1"/>
    <x v="5"/>
    <x v="1"/>
    <n v="-150.1"/>
  </r>
  <r>
    <d v="2022-06-29T00:00:00"/>
    <s v="Uber"/>
    <n v="28.200000000000003"/>
    <m/>
    <x v="9"/>
    <x v="6"/>
    <x v="1"/>
    <x v="5"/>
    <x v="1"/>
    <n v="-28.200000000000003"/>
  </r>
  <r>
    <d v="2022-06-29T00:00:00"/>
    <s v="Dunkin Donuts"/>
    <n v="15"/>
    <m/>
    <x v="7"/>
    <x v="1"/>
    <x v="1"/>
    <x v="5"/>
    <x v="1"/>
    <n v="-15"/>
  </r>
  <r>
    <d v="2022-06-30T00:00:00"/>
    <s v="Drink"/>
    <n v="5"/>
    <m/>
    <x v="1"/>
    <x v="1"/>
    <x v="1"/>
    <x v="5"/>
    <x v="2"/>
    <n v="-5"/>
  </r>
  <r>
    <d v="2022-07-01T00:00:00"/>
    <s v="Drink"/>
    <n v="5"/>
    <m/>
    <x v="1"/>
    <x v="1"/>
    <x v="1"/>
    <x v="6"/>
    <x v="3"/>
    <n v="-5"/>
  </r>
  <r>
    <d v="2022-07-02T00:00:00"/>
    <s v="Data With Decision"/>
    <m/>
    <n v="5000"/>
    <x v="0"/>
    <x v="0"/>
    <x v="0"/>
    <x v="6"/>
    <x v="4"/>
    <n v="5000"/>
  </r>
  <r>
    <d v="2022-07-03T00:00:00"/>
    <s v="Drink"/>
    <n v="5"/>
    <m/>
    <x v="1"/>
    <x v="1"/>
    <x v="1"/>
    <x v="6"/>
    <x v="5"/>
    <n v="-5"/>
  </r>
  <r>
    <d v="2022-07-05T00:00:00"/>
    <s v="Big Basket"/>
    <n v="900"/>
    <m/>
    <x v="2"/>
    <x v="2"/>
    <x v="1"/>
    <x v="6"/>
    <x v="0"/>
    <n v="-900"/>
  </r>
  <r>
    <d v="2022-07-05T00:00:00"/>
    <s v="Subscription"/>
    <n v="150"/>
    <m/>
    <x v="3"/>
    <x v="3"/>
    <x v="1"/>
    <x v="6"/>
    <x v="0"/>
    <n v="-150"/>
  </r>
  <r>
    <d v="2022-07-05T00:00:00"/>
    <s v="McD"/>
    <n v="15"/>
    <m/>
    <x v="7"/>
    <x v="1"/>
    <x v="1"/>
    <x v="6"/>
    <x v="0"/>
    <n v="-15"/>
  </r>
  <r>
    <d v="2022-07-05T00:00:00"/>
    <s v="Drink"/>
    <n v="5"/>
    <m/>
    <x v="1"/>
    <x v="1"/>
    <x v="1"/>
    <x v="6"/>
    <x v="0"/>
    <n v="-5"/>
  </r>
  <r>
    <d v="2022-07-06T00:00:00"/>
    <s v="Drink"/>
    <n v="5"/>
    <m/>
    <x v="1"/>
    <x v="1"/>
    <x v="1"/>
    <x v="6"/>
    <x v="1"/>
    <n v="-5"/>
  </r>
  <r>
    <d v="2022-07-07T00:00:00"/>
    <s v="Drink"/>
    <n v="5"/>
    <m/>
    <x v="1"/>
    <x v="1"/>
    <x v="1"/>
    <x v="6"/>
    <x v="2"/>
    <n v="-5"/>
  </r>
  <r>
    <d v="2022-07-07T00:00:00"/>
    <s v="Big Basket"/>
    <n v="180"/>
    <m/>
    <x v="2"/>
    <x v="2"/>
    <x v="1"/>
    <x v="6"/>
    <x v="2"/>
    <n v="-180"/>
  </r>
  <r>
    <d v="2022-07-10T00:00:00"/>
    <s v="Power source"/>
    <n v="56.1"/>
    <m/>
    <x v="4"/>
    <x v="2"/>
    <x v="1"/>
    <x v="6"/>
    <x v="5"/>
    <n v="-56.1"/>
  </r>
  <r>
    <d v="2022-07-10T00:00:00"/>
    <s v="Drink"/>
    <n v="5"/>
    <m/>
    <x v="1"/>
    <x v="1"/>
    <x v="1"/>
    <x v="6"/>
    <x v="5"/>
    <n v="-5"/>
  </r>
  <r>
    <d v="2022-07-11T00:00:00"/>
    <s v="Drink"/>
    <n v="5"/>
    <m/>
    <x v="1"/>
    <x v="1"/>
    <x v="1"/>
    <x v="6"/>
    <x v="6"/>
    <n v="-5"/>
  </r>
  <r>
    <d v="2022-07-12T00:00:00"/>
    <s v="Fuel"/>
    <n v="83.1"/>
    <m/>
    <x v="15"/>
    <x v="6"/>
    <x v="1"/>
    <x v="6"/>
    <x v="0"/>
    <n v="-83.1"/>
  </r>
  <r>
    <d v="2022-07-12T00:00:00"/>
    <s v="Drink"/>
    <n v="5"/>
    <m/>
    <x v="1"/>
    <x v="1"/>
    <x v="1"/>
    <x v="6"/>
    <x v="0"/>
    <n v="-5"/>
  </r>
  <r>
    <d v="2022-07-13T00:00:00"/>
    <s v="Drink"/>
    <n v="5"/>
    <m/>
    <x v="1"/>
    <x v="1"/>
    <x v="1"/>
    <x v="6"/>
    <x v="1"/>
    <n v="-5"/>
  </r>
  <r>
    <d v="2022-07-14T00:00:00"/>
    <s v="Big Basket"/>
    <n v="141.1"/>
    <m/>
    <x v="2"/>
    <x v="2"/>
    <x v="1"/>
    <x v="6"/>
    <x v="2"/>
    <n v="-141.1"/>
  </r>
  <r>
    <d v="2022-07-14T00:00:00"/>
    <s v="Drink"/>
    <n v="5"/>
    <m/>
    <x v="1"/>
    <x v="1"/>
    <x v="1"/>
    <x v="6"/>
    <x v="2"/>
    <n v="-5"/>
  </r>
  <r>
    <d v="2022-07-15T00:00:00"/>
    <s v="Drink"/>
    <n v="5"/>
    <m/>
    <x v="1"/>
    <x v="1"/>
    <x v="1"/>
    <x v="6"/>
    <x v="3"/>
    <n v="-5"/>
  </r>
  <r>
    <d v="2022-07-15T00:00:00"/>
    <s v="Cinemas"/>
    <n v="45.8"/>
    <m/>
    <x v="5"/>
    <x v="4"/>
    <x v="1"/>
    <x v="6"/>
    <x v="3"/>
    <n v="-45.8"/>
  </r>
  <r>
    <d v="2022-07-15T00:00:00"/>
    <s v="Splash"/>
    <n v="103.80000000000001"/>
    <m/>
    <x v="6"/>
    <x v="4"/>
    <x v="1"/>
    <x v="6"/>
    <x v="3"/>
    <n v="-103.80000000000001"/>
  </r>
  <r>
    <d v="2022-07-15T00:00:00"/>
    <s v="Burger"/>
    <n v="58"/>
    <m/>
    <x v="7"/>
    <x v="1"/>
    <x v="1"/>
    <x v="6"/>
    <x v="3"/>
    <n v="-58"/>
  </r>
  <r>
    <d v="2022-07-16T00:00:00"/>
    <s v="Uber"/>
    <n v="34.200000000000003"/>
    <m/>
    <x v="9"/>
    <x v="6"/>
    <x v="1"/>
    <x v="6"/>
    <x v="4"/>
    <n v="-34.200000000000003"/>
  </r>
  <r>
    <d v="2022-07-17T00:00:00"/>
    <s v="Income"/>
    <m/>
    <n v="200"/>
    <x v="10"/>
    <x v="7"/>
    <x v="0"/>
    <x v="6"/>
    <x v="5"/>
    <n v="200"/>
  </r>
  <r>
    <d v="2022-07-17T00:00:00"/>
    <s v="Drink"/>
    <n v="5"/>
    <m/>
    <x v="1"/>
    <x v="1"/>
    <x v="1"/>
    <x v="6"/>
    <x v="5"/>
    <n v="-5"/>
  </r>
  <r>
    <d v="2022-07-18T00:00:00"/>
    <s v="Drink"/>
    <n v="5"/>
    <m/>
    <x v="1"/>
    <x v="1"/>
    <x v="1"/>
    <x v="6"/>
    <x v="6"/>
    <n v="-5"/>
  </r>
  <r>
    <d v="2022-07-18T00:00:00"/>
    <s v="Phone"/>
    <n v="40"/>
    <m/>
    <x v="12"/>
    <x v="2"/>
    <x v="1"/>
    <x v="6"/>
    <x v="6"/>
    <n v="-40"/>
  </r>
  <r>
    <d v="2022-07-19T00:00:00"/>
    <s v="Birthday"/>
    <n v="51.1"/>
    <m/>
    <x v="13"/>
    <x v="4"/>
    <x v="1"/>
    <x v="6"/>
    <x v="0"/>
    <n v="-51.1"/>
  </r>
  <r>
    <d v="2022-07-19T00:00:00"/>
    <s v="Online streaming"/>
    <n v="35"/>
    <m/>
    <x v="5"/>
    <x v="4"/>
    <x v="1"/>
    <x v="6"/>
    <x v="0"/>
    <n v="-35"/>
  </r>
  <r>
    <d v="2022-07-19T00:00:00"/>
    <s v="Drink"/>
    <n v="5"/>
    <m/>
    <x v="1"/>
    <x v="1"/>
    <x v="1"/>
    <x v="6"/>
    <x v="0"/>
    <n v="-5"/>
  </r>
  <r>
    <d v="2022-07-20T00:00:00"/>
    <s v="Drink"/>
    <n v="5"/>
    <m/>
    <x v="1"/>
    <x v="1"/>
    <x v="1"/>
    <x v="6"/>
    <x v="1"/>
    <n v="-5"/>
  </r>
  <r>
    <d v="2022-07-21T00:00:00"/>
    <s v="Drink"/>
    <n v="5"/>
    <m/>
    <x v="1"/>
    <x v="1"/>
    <x v="1"/>
    <x v="6"/>
    <x v="2"/>
    <n v="-5"/>
  </r>
  <r>
    <d v="2022-07-21T00:00:00"/>
    <s v="Big Basket"/>
    <n v="176"/>
    <m/>
    <x v="2"/>
    <x v="2"/>
    <x v="1"/>
    <x v="6"/>
    <x v="2"/>
    <n v="-176"/>
  </r>
  <r>
    <d v="2022-07-22T00:00:00"/>
    <s v="The Pavilion"/>
    <n v="43.1"/>
    <m/>
    <x v="7"/>
    <x v="1"/>
    <x v="1"/>
    <x v="6"/>
    <x v="3"/>
    <n v="-43.1"/>
  </r>
  <r>
    <d v="2022-07-23T00:00:00"/>
    <s v="Tim Hortons"/>
    <n v="18.2"/>
    <m/>
    <x v="7"/>
    <x v="1"/>
    <x v="1"/>
    <x v="6"/>
    <x v="4"/>
    <n v="-18.2"/>
  </r>
  <r>
    <d v="2022-07-24T00:00:00"/>
    <s v="Orphanage"/>
    <n v="55"/>
    <m/>
    <x v="14"/>
    <x v="8"/>
    <x v="1"/>
    <x v="6"/>
    <x v="5"/>
    <n v="-55"/>
  </r>
  <r>
    <d v="2022-07-24T00:00:00"/>
    <s v="Fuel"/>
    <n v="68.800000000000011"/>
    <m/>
    <x v="15"/>
    <x v="6"/>
    <x v="1"/>
    <x v="6"/>
    <x v="5"/>
    <n v="-68.800000000000011"/>
  </r>
  <r>
    <d v="2022-07-24T00:00:00"/>
    <s v="Taken medication"/>
    <n v="130"/>
    <m/>
    <x v="8"/>
    <x v="5"/>
    <x v="1"/>
    <x v="6"/>
    <x v="5"/>
    <n v="-130"/>
  </r>
  <r>
    <d v="2022-07-24T00:00:00"/>
    <s v="Drink"/>
    <n v="5"/>
    <m/>
    <x v="1"/>
    <x v="1"/>
    <x v="1"/>
    <x v="6"/>
    <x v="5"/>
    <n v="-5"/>
  </r>
  <r>
    <d v="2022-07-25T00:00:00"/>
    <s v="Drink"/>
    <n v="5"/>
    <m/>
    <x v="1"/>
    <x v="1"/>
    <x v="1"/>
    <x v="6"/>
    <x v="6"/>
    <n v="-5"/>
  </r>
  <r>
    <d v="2022-07-26T00:00:00"/>
    <s v="Drink"/>
    <n v="5"/>
    <m/>
    <x v="1"/>
    <x v="1"/>
    <x v="1"/>
    <x v="6"/>
    <x v="0"/>
    <n v="-5"/>
  </r>
  <r>
    <d v="2022-07-27T00:00:00"/>
    <s v="Drink"/>
    <n v="5"/>
    <m/>
    <x v="1"/>
    <x v="1"/>
    <x v="1"/>
    <x v="6"/>
    <x v="1"/>
    <n v="-5"/>
  </r>
  <r>
    <d v="2022-07-28T00:00:00"/>
    <s v="Drink"/>
    <n v="5"/>
    <m/>
    <x v="1"/>
    <x v="1"/>
    <x v="1"/>
    <x v="6"/>
    <x v="2"/>
    <n v="-5"/>
  </r>
  <r>
    <d v="2022-07-28T00:00:00"/>
    <s v="Big Basket"/>
    <n v="193"/>
    <m/>
    <x v="2"/>
    <x v="2"/>
    <x v="1"/>
    <x v="6"/>
    <x v="2"/>
    <n v="-193"/>
  </r>
  <r>
    <d v="2022-07-29T00:00:00"/>
    <s v="MAX"/>
    <n v="130.80000000000001"/>
    <m/>
    <x v="6"/>
    <x v="4"/>
    <x v="1"/>
    <x v="6"/>
    <x v="3"/>
    <n v="-130.80000000000001"/>
  </r>
  <r>
    <d v="2022-07-29T00:00:00"/>
    <s v="Home décor"/>
    <n v="181.39999999999998"/>
    <m/>
    <x v="19"/>
    <x v="4"/>
    <x v="1"/>
    <x v="6"/>
    <x v="3"/>
    <n v="-181.39999999999998"/>
  </r>
  <r>
    <d v="2022-07-30T00:00:00"/>
    <s v="Amazon"/>
    <n v="151.19999999999999"/>
    <m/>
    <x v="6"/>
    <x v="4"/>
    <x v="1"/>
    <x v="6"/>
    <x v="4"/>
    <n v="-151.19999999999999"/>
  </r>
  <r>
    <d v="2022-07-30T00:00:00"/>
    <s v="Uber"/>
    <n v="29.300000000000004"/>
    <m/>
    <x v="9"/>
    <x v="6"/>
    <x v="1"/>
    <x v="6"/>
    <x v="4"/>
    <n v="-29.300000000000004"/>
  </r>
  <r>
    <d v="2022-07-30T00:00:00"/>
    <s v="The Steak Company"/>
    <n v="15"/>
    <m/>
    <x v="7"/>
    <x v="1"/>
    <x v="1"/>
    <x v="6"/>
    <x v="4"/>
    <n v="-15"/>
  </r>
  <r>
    <d v="2022-07-31T00:00:00"/>
    <s v="Drink"/>
    <n v="5"/>
    <m/>
    <x v="1"/>
    <x v="1"/>
    <x v="1"/>
    <x v="6"/>
    <x v="5"/>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D870AB-3848-410C-BEEB-A683761BE4A7}"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Sub-category">
  <location ref="Q6:R11" firstHeaderRow="1" firstDataRow="1" firstDataCol="1" rowPageCount="1" colPageCount="1"/>
  <pivotFields count="10">
    <pivotField showAll="0"/>
    <pivotField showAll="0"/>
    <pivotField showAll="0"/>
    <pivotField showAll="0"/>
    <pivotField axis="axisRow" showAll="0">
      <items count="22">
        <item x="6"/>
        <item x="1"/>
        <item x="16"/>
        <item x="14"/>
        <item x="11"/>
        <item x="5"/>
        <item x="15"/>
        <item x="19"/>
        <item x="4"/>
        <item x="13"/>
        <item x="2"/>
        <item x="3"/>
        <item x="10"/>
        <item x="12"/>
        <item x="7"/>
        <item x="9"/>
        <item x="17"/>
        <item x="0"/>
        <item x="18"/>
        <item m="1" x="20"/>
        <item x="8"/>
        <item t="default"/>
      </items>
    </pivotField>
    <pivotField showAll="0"/>
    <pivotField axis="axisPage" multipleItemSelectionAllowed="1" showAll="0">
      <items count="4">
        <item h="1" x="1"/>
        <item x="0"/>
        <item h="1" m="1" x="2"/>
        <item t="default"/>
      </items>
    </pivotField>
    <pivotField showAll="0"/>
    <pivotField showAll="0"/>
    <pivotField dataField="1" showAll="0"/>
  </pivotFields>
  <rowFields count="1">
    <field x="4"/>
  </rowFields>
  <rowItems count="5">
    <i>
      <x v="4"/>
    </i>
    <i>
      <x v="12"/>
    </i>
    <i>
      <x v="16"/>
    </i>
    <i>
      <x v="17"/>
    </i>
    <i t="grand">
      <x/>
    </i>
  </rowItems>
  <colItems count="1">
    <i/>
  </colItems>
  <pageFields count="1">
    <pageField fld="6" hier="-1"/>
  </pageFields>
  <dataFields count="1">
    <dataField name="Sum of Amount" fld="9" baseField="0" baseItem="0"/>
  </dataFields>
  <formats count="43">
    <format dxfId="640">
      <pivotArea outline="0" collapsedLevelsAreSubtotals="1" fieldPosition="0"/>
    </format>
    <format dxfId="639">
      <pivotArea type="all" dataOnly="0" outline="0" fieldPosition="0"/>
    </format>
    <format dxfId="638">
      <pivotArea outline="0" collapsedLevelsAreSubtotals="1" fieldPosition="0"/>
    </format>
    <format dxfId="637">
      <pivotArea field="4" type="button" dataOnly="0" labelOnly="1" outline="0" axis="axisRow" fieldPosition="0"/>
    </format>
    <format dxfId="636">
      <pivotArea dataOnly="0" labelOnly="1" fieldPosition="0">
        <references count="1">
          <reference field="4" count="4">
            <x v="4"/>
            <x v="12"/>
            <x v="16"/>
            <x v="17"/>
          </reference>
        </references>
      </pivotArea>
    </format>
    <format dxfId="635">
      <pivotArea dataOnly="0" labelOnly="1" grandRow="1" outline="0" fieldPosition="0"/>
    </format>
    <format dxfId="634">
      <pivotArea dataOnly="0" labelOnly="1" outline="0" axis="axisValues" fieldPosition="0"/>
    </format>
    <format dxfId="515">
      <pivotArea type="all" dataOnly="0" outline="0" fieldPosition="0"/>
    </format>
    <format dxfId="508">
      <pivotArea outline="0" collapsedLevelsAreSubtotals="1" fieldPosition="0"/>
    </format>
    <format dxfId="507">
      <pivotArea field="4" type="button" dataOnly="0" labelOnly="1" outline="0" axis="axisRow" fieldPosition="0"/>
    </format>
    <format dxfId="506">
      <pivotArea dataOnly="0" labelOnly="1" fieldPosition="0">
        <references count="1">
          <reference field="4" count="4">
            <x v="4"/>
            <x v="12"/>
            <x v="16"/>
            <x v="17"/>
          </reference>
        </references>
      </pivotArea>
    </format>
    <format dxfId="505">
      <pivotArea dataOnly="0" labelOnly="1" grandRow="1" outline="0" fieldPosition="0"/>
    </format>
    <format dxfId="504">
      <pivotArea dataOnly="0" labelOnly="1" outline="0" axis="axisValues" fieldPosition="0"/>
    </format>
    <format dxfId="405">
      <pivotArea type="all" dataOnly="0" outline="0" fieldPosition="0"/>
    </format>
    <format dxfId="404">
      <pivotArea outline="0" collapsedLevelsAreSubtotals="1" fieldPosition="0"/>
    </format>
    <format dxfId="403">
      <pivotArea field="4" type="button" dataOnly="0" labelOnly="1" outline="0" axis="axisRow" fieldPosition="0"/>
    </format>
    <format dxfId="402">
      <pivotArea dataOnly="0" labelOnly="1" fieldPosition="0">
        <references count="1">
          <reference field="4" count="4">
            <x v="4"/>
            <x v="12"/>
            <x v="16"/>
            <x v="17"/>
          </reference>
        </references>
      </pivotArea>
    </format>
    <format dxfId="401">
      <pivotArea dataOnly="0" labelOnly="1" grandRow="1" outline="0" fieldPosition="0"/>
    </format>
    <format dxfId="400">
      <pivotArea dataOnly="0" labelOnly="1" outline="0" axis="axisValues" fieldPosition="0"/>
    </format>
    <format dxfId="341">
      <pivotArea type="all" dataOnly="0" outline="0" fieldPosition="0"/>
    </format>
    <format dxfId="334">
      <pivotArea outline="0" collapsedLevelsAreSubtotals="1" fieldPosition="0"/>
    </format>
    <format dxfId="333">
      <pivotArea field="4" type="button" dataOnly="0" labelOnly="1" outline="0" axis="axisRow" fieldPosition="0"/>
    </format>
    <format dxfId="332">
      <pivotArea dataOnly="0" labelOnly="1" fieldPosition="0">
        <references count="1">
          <reference field="4" count="4">
            <x v="4"/>
            <x v="12"/>
            <x v="16"/>
            <x v="17"/>
          </reference>
        </references>
      </pivotArea>
    </format>
    <format dxfId="331">
      <pivotArea dataOnly="0" labelOnly="1" grandRow="1" outline="0" fieldPosition="0"/>
    </format>
    <format dxfId="330">
      <pivotArea dataOnly="0" labelOnly="1" outline="0" axis="axisValues" fieldPosition="0"/>
    </format>
    <format dxfId="231">
      <pivotArea type="all" dataOnly="0" outline="0" fieldPosition="0"/>
    </format>
    <format dxfId="230">
      <pivotArea outline="0" collapsedLevelsAreSubtotals="1" fieldPosition="0"/>
    </format>
    <format dxfId="229">
      <pivotArea field="4" type="button" dataOnly="0" labelOnly="1" outline="0" axis="axisRow" fieldPosition="0"/>
    </format>
    <format dxfId="228">
      <pivotArea dataOnly="0" labelOnly="1" fieldPosition="0">
        <references count="1">
          <reference field="4" count="4">
            <x v="4"/>
            <x v="12"/>
            <x v="16"/>
            <x v="17"/>
          </reference>
        </references>
      </pivotArea>
    </format>
    <format dxfId="227">
      <pivotArea dataOnly="0" labelOnly="1" grandRow="1" outline="0" fieldPosition="0"/>
    </format>
    <format dxfId="226">
      <pivotArea dataOnly="0" labelOnly="1" outline="0" axis="axisValues" fieldPosition="0"/>
    </format>
    <format dxfId="167">
      <pivotArea type="all" dataOnly="0" outline="0" fieldPosition="0"/>
    </format>
    <format dxfId="160">
      <pivotArea outline="0" collapsedLevelsAreSubtotals="1" fieldPosition="0"/>
    </format>
    <format dxfId="159">
      <pivotArea field="4" type="button" dataOnly="0" labelOnly="1" outline="0" axis="axisRow" fieldPosition="0"/>
    </format>
    <format dxfId="158">
      <pivotArea dataOnly="0" labelOnly="1" fieldPosition="0">
        <references count="1">
          <reference field="4" count="4">
            <x v="4"/>
            <x v="12"/>
            <x v="16"/>
            <x v="17"/>
          </reference>
        </references>
      </pivotArea>
    </format>
    <format dxfId="157">
      <pivotArea dataOnly="0" labelOnly="1" grandRow="1" outline="0" fieldPosition="0"/>
    </format>
    <format dxfId="156">
      <pivotArea dataOnly="0" labelOnly="1" outline="0" axis="axisValues" fieldPosition="0"/>
    </format>
    <format dxfId="57">
      <pivotArea type="all" dataOnly="0" outline="0" fieldPosition="0"/>
    </format>
    <format dxfId="56">
      <pivotArea outline="0" collapsedLevelsAreSubtotals="1" fieldPosition="0"/>
    </format>
    <format dxfId="55">
      <pivotArea field="4" type="button" dataOnly="0" labelOnly="1" outline="0" axis="axisRow" fieldPosition="0"/>
    </format>
    <format dxfId="54">
      <pivotArea dataOnly="0" labelOnly="1" fieldPosition="0">
        <references count="1">
          <reference field="4" count="4">
            <x v="4"/>
            <x v="12"/>
            <x v="16"/>
            <x v="17"/>
          </reference>
        </references>
      </pivotArea>
    </format>
    <format dxfId="53">
      <pivotArea dataOnly="0" labelOnly="1" grandRow="1" outline="0" fieldPosition="0"/>
    </format>
    <format dxfId="52">
      <pivotArea dataOnly="0" labelOnly="1" outline="0" axis="axisValues" fieldPosition="0"/>
    </format>
  </formats>
  <chartFormats count="7">
    <chartFormat chart="5" format="8" series="1">
      <pivotArea type="data" outline="0" fieldPosition="0">
        <references count="1">
          <reference field="4294967294" count="1" selected="0">
            <x v="0"/>
          </reference>
        </references>
      </pivotArea>
    </chartFormat>
    <chartFormat chart="5" format="9">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 chart="9" format="7">
      <pivotArea type="data" outline="0" fieldPosition="0">
        <references count="2">
          <reference field="4294967294" count="1" selected="0">
            <x v="0"/>
          </reference>
          <reference field="4" count="1" selected="0">
            <x v="4"/>
          </reference>
        </references>
      </pivotArea>
    </chartFormat>
    <chartFormat chart="9" format="8">
      <pivotArea type="data" outline="0" fieldPosition="0">
        <references count="2">
          <reference field="4294967294" count="1" selected="0">
            <x v="0"/>
          </reference>
          <reference field="4" count="1" selected="0">
            <x v="12"/>
          </reference>
        </references>
      </pivotArea>
    </chartFormat>
    <chartFormat chart="9" format="9">
      <pivotArea type="data" outline="0" fieldPosition="0">
        <references count="2">
          <reference field="4294967294" count="1" selected="0">
            <x v="0"/>
          </reference>
          <reference field="4" count="1" selected="0">
            <x v="16"/>
          </reference>
        </references>
      </pivotArea>
    </chartFormat>
    <chartFormat chart="9" format="10">
      <pivotArea type="data" outline="0" fieldPosition="0">
        <references count="2">
          <reference field="4294967294" count="1" selected="0">
            <x v="0"/>
          </reference>
          <reference field="4"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79B8E0D-7BCF-47AB-A66A-FC5EF3BA6397}"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Month Number">
  <location ref="Q19:R27" firstHeaderRow="1" firstDataRow="1" firstDataCol="1"/>
  <pivotFields count="10">
    <pivotField showAll="0"/>
    <pivotField showAll="0"/>
    <pivotField dataField="1" showAll="0"/>
    <pivotField showAll="0"/>
    <pivotField showAll="0"/>
    <pivotField showAll="0">
      <items count="11">
        <item x="8"/>
        <item x="1"/>
        <item x="4"/>
        <item x="2"/>
        <item x="5"/>
        <item x="7"/>
        <item x="3"/>
        <item x="0"/>
        <item x="6"/>
        <item m="1" x="9"/>
        <item t="default"/>
      </items>
    </pivotField>
    <pivotField multipleItemSelectionAllowed="1" showAll="0"/>
    <pivotField axis="axisRow" showAll="0">
      <items count="8">
        <item x="0"/>
        <item x="1"/>
        <item x="2"/>
        <item x="3"/>
        <item x="4"/>
        <item x="5"/>
        <item x="6"/>
        <item t="default"/>
      </items>
    </pivotField>
    <pivotField showAll="0"/>
    <pivotField showAll="0"/>
  </pivotFields>
  <rowFields count="1">
    <field x="7"/>
  </rowFields>
  <rowItems count="8">
    <i>
      <x/>
    </i>
    <i>
      <x v="1"/>
    </i>
    <i>
      <x v="2"/>
    </i>
    <i>
      <x v="3"/>
    </i>
    <i>
      <x v="4"/>
    </i>
    <i>
      <x v="5"/>
    </i>
    <i>
      <x v="6"/>
    </i>
    <i t="grand">
      <x/>
    </i>
  </rowItems>
  <colItems count="1">
    <i/>
  </colItems>
  <dataFields count="1">
    <dataField name="Sum of Debit" fld="2" baseField="0" baseItem="0"/>
  </dataFields>
  <formats count="43">
    <format dxfId="647">
      <pivotArea outline="0" collapsedLevelsAreSubtotals="1" fieldPosition="0"/>
    </format>
    <format dxfId="646">
      <pivotArea type="all" dataOnly="0" outline="0" fieldPosition="0"/>
    </format>
    <format dxfId="645">
      <pivotArea outline="0" collapsedLevelsAreSubtotals="1" fieldPosition="0"/>
    </format>
    <format dxfId="644">
      <pivotArea field="7" type="button" dataOnly="0" labelOnly="1" outline="0" axis="axisRow" fieldPosition="0"/>
    </format>
    <format dxfId="643">
      <pivotArea dataOnly="0" labelOnly="1" fieldPosition="0">
        <references count="1">
          <reference field="7" count="0"/>
        </references>
      </pivotArea>
    </format>
    <format dxfId="642">
      <pivotArea dataOnly="0" labelOnly="1" grandRow="1" outline="0" fieldPosition="0"/>
    </format>
    <format dxfId="641">
      <pivotArea dataOnly="0" labelOnly="1" outline="0" axis="axisValues" fieldPosition="0"/>
    </format>
    <format dxfId="502">
      <pivotArea type="all" dataOnly="0" outline="0" fieldPosition="0"/>
    </format>
    <format dxfId="495">
      <pivotArea outline="0" collapsedLevelsAreSubtotals="1" fieldPosition="0"/>
    </format>
    <format dxfId="494">
      <pivotArea field="7" type="button" dataOnly="0" labelOnly="1" outline="0" axis="axisRow" fieldPosition="0"/>
    </format>
    <format dxfId="493">
      <pivotArea dataOnly="0" labelOnly="1" fieldPosition="0">
        <references count="1">
          <reference field="7" count="0"/>
        </references>
      </pivotArea>
    </format>
    <format dxfId="492">
      <pivotArea dataOnly="0" labelOnly="1" grandRow="1" outline="0" fieldPosition="0"/>
    </format>
    <format dxfId="491">
      <pivotArea dataOnly="0" labelOnly="1" outline="0" axis="axisValues" fieldPosition="0"/>
    </format>
    <format dxfId="398">
      <pivotArea type="all" dataOnly="0" outline="0" fieldPosition="0"/>
    </format>
    <format dxfId="397">
      <pivotArea outline="0" collapsedLevelsAreSubtotals="1" fieldPosition="0"/>
    </format>
    <format dxfId="396">
      <pivotArea field="7" type="button" dataOnly="0" labelOnly="1" outline="0" axis="axisRow" fieldPosition="0"/>
    </format>
    <format dxfId="395">
      <pivotArea dataOnly="0" labelOnly="1" fieldPosition="0">
        <references count="1">
          <reference field="7" count="0"/>
        </references>
      </pivotArea>
    </format>
    <format dxfId="394">
      <pivotArea dataOnly="0" labelOnly="1" grandRow="1" outline="0" fieldPosition="0"/>
    </format>
    <format dxfId="393">
      <pivotArea dataOnly="0" labelOnly="1" outline="0" axis="axisValues" fieldPosition="0"/>
    </format>
    <format dxfId="328">
      <pivotArea type="all" dataOnly="0" outline="0" fieldPosition="0"/>
    </format>
    <format dxfId="321">
      <pivotArea outline="0" collapsedLevelsAreSubtotals="1" fieldPosition="0"/>
    </format>
    <format dxfId="320">
      <pivotArea field="7" type="button" dataOnly="0" labelOnly="1" outline="0" axis="axisRow" fieldPosition="0"/>
    </format>
    <format dxfId="319">
      <pivotArea dataOnly="0" labelOnly="1" fieldPosition="0">
        <references count="1">
          <reference field="7" count="0"/>
        </references>
      </pivotArea>
    </format>
    <format dxfId="318">
      <pivotArea dataOnly="0" labelOnly="1" grandRow="1" outline="0" fieldPosition="0"/>
    </format>
    <format dxfId="317">
      <pivotArea dataOnly="0" labelOnly="1" outline="0" axis="axisValues" fieldPosition="0"/>
    </format>
    <format dxfId="224">
      <pivotArea type="all" dataOnly="0" outline="0" fieldPosition="0"/>
    </format>
    <format dxfId="223">
      <pivotArea outline="0" collapsedLevelsAreSubtotals="1" fieldPosition="0"/>
    </format>
    <format dxfId="222">
      <pivotArea field="7" type="button" dataOnly="0" labelOnly="1" outline="0" axis="axisRow" fieldPosition="0"/>
    </format>
    <format dxfId="221">
      <pivotArea dataOnly="0" labelOnly="1" fieldPosition="0">
        <references count="1">
          <reference field="7" count="0"/>
        </references>
      </pivotArea>
    </format>
    <format dxfId="220">
      <pivotArea dataOnly="0" labelOnly="1" grandRow="1" outline="0" fieldPosition="0"/>
    </format>
    <format dxfId="219">
      <pivotArea dataOnly="0" labelOnly="1" outline="0" axis="axisValues" fieldPosition="0"/>
    </format>
    <format dxfId="154">
      <pivotArea type="all" dataOnly="0" outline="0" fieldPosition="0"/>
    </format>
    <format dxfId="147">
      <pivotArea outline="0" collapsedLevelsAreSubtotals="1" fieldPosition="0"/>
    </format>
    <format dxfId="146">
      <pivotArea field="7" type="button" dataOnly="0" labelOnly="1" outline="0" axis="axisRow" fieldPosition="0"/>
    </format>
    <format dxfId="145">
      <pivotArea dataOnly="0" labelOnly="1" fieldPosition="0">
        <references count="1">
          <reference field="7" count="0"/>
        </references>
      </pivotArea>
    </format>
    <format dxfId="144">
      <pivotArea dataOnly="0" labelOnly="1" grandRow="1" outline="0" fieldPosition="0"/>
    </format>
    <format dxfId="143">
      <pivotArea dataOnly="0" labelOnly="1" outline="0" axis="axisValues" fieldPosition="0"/>
    </format>
    <format dxfId="50">
      <pivotArea type="all" dataOnly="0" outline="0" fieldPosition="0"/>
    </format>
    <format dxfId="49">
      <pivotArea outline="0" collapsedLevelsAreSubtotals="1" fieldPosition="0"/>
    </format>
    <format dxfId="48">
      <pivotArea field="7" type="button" dataOnly="0" labelOnly="1" outline="0" axis="axisRow" fieldPosition="0"/>
    </format>
    <format dxfId="47">
      <pivotArea dataOnly="0" labelOnly="1" fieldPosition="0">
        <references count="1">
          <reference field="7" count="0"/>
        </references>
      </pivotArea>
    </format>
    <format dxfId="46">
      <pivotArea dataOnly="0" labelOnly="1" grandRow="1" outline="0" fieldPosition="0"/>
    </format>
    <format dxfId="4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C85AC30-B93B-4ED2-BB55-9095722E5B6D}"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ategory">
  <location ref="G4:H14" firstHeaderRow="1" firstDataRow="1" firstDataCol="1"/>
  <pivotFields count="10">
    <pivotField showAll="0"/>
    <pivotField showAll="0"/>
    <pivotField showAll="0"/>
    <pivotField showAll="0"/>
    <pivotField showAll="0"/>
    <pivotField axis="axisRow" showAll="0">
      <items count="11">
        <item x="0"/>
        <item x="7"/>
        <item x="2"/>
        <item x="4"/>
        <item x="6"/>
        <item x="3"/>
        <item x="1"/>
        <item x="8"/>
        <item x="5"/>
        <item h="1" m="1" x="9"/>
        <item t="default"/>
      </items>
    </pivotField>
    <pivotField showAll="0"/>
    <pivotField showAll="0">
      <items count="8">
        <item x="0"/>
        <item x="1"/>
        <item x="2"/>
        <item x="3"/>
        <item x="4"/>
        <item x="5"/>
        <item x="6"/>
        <item t="default"/>
      </items>
    </pivotField>
    <pivotField showAll="0"/>
    <pivotField dataField="1" showAll="0"/>
  </pivotFields>
  <rowFields count="1">
    <field x="5"/>
  </rowFields>
  <rowItems count="10">
    <i>
      <x/>
    </i>
    <i>
      <x v="1"/>
    </i>
    <i>
      <x v="2"/>
    </i>
    <i>
      <x v="3"/>
    </i>
    <i>
      <x v="4"/>
    </i>
    <i>
      <x v="5"/>
    </i>
    <i>
      <x v="6"/>
    </i>
    <i>
      <x v="7"/>
    </i>
    <i>
      <x v="8"/>
    </i>
    <i t="grand">
      <x/>
    </i>
  </rowItems>
  <colItems count="1">
    <i/>
  </colItems>
  <dataFields count="1">
    <dataField name="Sum of Amount" fld="9" baseField="0" baseItem="0" numFmtId="166"/>
  </dataFields>
  <formats count="43">
    <format dxfId="654">
      <pivotArea outline="0" collapsedLevelsAreSubtotals="1" fieldPosition="0"/>
    </format>
    <format dxfId="653">
      <pivotArea type="all" dataOnly="0" outline="0" fieldPosition="0"/>
    </format>
    <format dxfId="652">
      <pivotArea outline="0" collapsedLevelsAreSubtotals="1" fieldPosition="0"/>
    </format>
    <format dxfId="651">
      <pivotArea field="5" type="button" dataOnly="0" labelOnly="1" outline="0" axis="axisRow" fieldPosition="0"/>
    </format>
    <format dxfId="650">
      <pivotArea dataOnly="0" labelOnly="1" fieldPosition="0">
        <references count="1">
          <reference field="5" count="0"/>
        </references>
      </pivotArea>
    </format>
    <format dxfId="649">
      <pivotArea dataOnly="0" labelOnly="1" grandRow="1" outline="0" fieldPosition="0"/>
    </format>
    <format dxfId="648">
      <pivotArea dataOnly="0" labelOnly="1" outline="0" axis="axisValues" fieldPosition="0"/>
    </format>
    <format dxfId="489">
      <pivotArea type="all" dataOnly="0" outline="0" fieldPosition="0"/>
    </format>
    <format dxfId="482">
      <pivotArea outline="0" collapsedLevelsAreSubtotals="1" fieldPosition="0"/>
    </format>
    <format dxfId="481">
      <pivotArea field="5" type="button" dataOnly="0" labelOnly="1" outline="0" axis="axisRow" fieldPosition="0"/>
    </format>
    <format dxfId="480">
      <pivotArea dataOnly="0" labelOnly="1" fieldPosition="0">
        <references count="1">
          <reference field="5" count="0"/>
        </references>
      </pivotArea>
    </format>
    <format dxfId="479">
      <pivotArea dataOnly="0" labelOnly="1" grandRow="1" outline="0" fieldPosition="0"/>
    </format>
    <format dxfId="478">
      <pivotArea dataOnly="0" labelOnly="1" outline="0" axis="axisValues" fieldPosition="0"/>
    </format>
    <format dxfId="391">
      <pivotArea type="all" dataOnly="0" outline="0" fieldPosition="0"/>
    </format>
    <format dxfId="390">
      <pivotArea outline="0" collapsedLevelsAreSubtotals="1" fieldPosition="0"/>
    </format>
    <format dxfId="389">
      <pivotArea field="5" type="button" dataOnly="0" labelOnly="1" outline="0" axis="axisRow" fieldPosition="0"/>
    </format>
    <format dxfId="388">
      <pivotArea dataOnly="0" labelOnly="1" fieldPosition="0">
        <references count="1">
          <reference field="5" count="0"/>
        </references>
      </pivotArea>
    </format>
    <format dxfId="387">
      <pivotArea dataOnly="0" labelOnly="1" grandRow="1" outline="0" fieldPosition="0"/>
    </format>
    <format dxfId="386">
      <pivotArea dataOnly="0" labelOnly="1" outline="0" axis="axisValues" fieldPosition="0"/>
    </format>
    <format dxfId="315">
      <pivotArea type="all" dataOnly="0" outline="0" fieldPosition="0"/>
    </format>
    <format dxfId="308">
      <pivotArea outline="0" collapsedLevelsAreSubtotals="1" fieldPosition="0"/>
    </format>
    <format dxfId="307">
      <pivotArea field="5" type="button" dataOnly="0" labelOnly="1" outline="0" axis="axisRow" fieldPosition="0"/>
    </format>
    <format dxfId="306">
      <pivotArea dataOnly="0" labelOnly="1" fieldPosition="0">
        <references count="1">
          <reference field="5" count="0"/>
        </references>
      </pivotArea>
    </format>
    <format dxfId="305">
      <pivotArea dataOnly="0" labelOnly="1" grandRow="1" outline="0" fieldPosition="0"/>
    </format>
    <format dxfId="304">
      <pivotArea dataOnly="0" labelOnly="1" outline="0" axis="axisValues" fieldPosition="0"/>
    </format>
    <format dxfId="217">
      <pivotArea type="all" dataOnly="0" outline="0" fieldPosition="0"/>
    </format>
    <format dxfId="216">
      <pivotArea outline="0" collapsedLevelsAreSubtotals="1" fieldPosition="0"/>
    </format>
    <format dxfId="215">
      <pivotArea field="5" type="button" dataOnly="0" labelOnly="1" outline="0" axis="axisRow" fieldPosition="0"/>
    </format>
    <format dxfId="214">
      <pivotArea dataOnly="0" labelOnly="1" fieldPosition="0">
        <references count="1">
          <reference field="5" count="0"/>
        </references>
      </pivotArea>
    </format>
    <format dxfId="213">
      <pivotArea dataOnly="0" labelOnly="1" grandRow="1" outline="0" fieldPosition="0"/>
    </format>
    <format dxfId="212">
      <pivotArea dataOnly="0" labelOnly="1" outline="0" axis="axisValues" fieldPosition="0"/>
    </format>
    <format dxfId="141">
      <pivotArea type="all" dataOnly="0" outline="0" fieldPosition="0"/>
    </format>
    <format dxfId="134">
      <pivotArea outline="0" collapsedLevelsAreSubtotals="1" fieldPosition="0"/>
    </format>
    <format dxfId="133">
      <pivotArea field="5" type="button" dataOnly="0" labelOnly="1" outline="0" axis="axisRow" fieldPosition="0"/>
    </format>
    <format dxfId="132">
      <pivotArea dataOnly="0" labelOnly="1" fieldPosition="0">
        <references count="1">
          <reference field="5" count="0"/>
        </references>
      </pivotArea>
    </format>
    <format dxfId="131">
      <pivotArea dataOnly="0" labelOnly="1" grandRow="1" outline="0" fieldPosition="0"/>
    </format>
    <format dxfId="130">
      <pivotArea dataOnly="0" labelOnly="1" outline="0" axis="axisValues" fieldPosition="0"/>
    </format>
    <format dxfId="43">
      <pivotArea type="all" dataOnly="0" outline="0" fieldPosition="0"/>
    </format>
    <format dxfId="42">
      <pivotArea outline="0" collapsedLevelsAreSubtotals="1" fieldPosition="0"/>
    </format>
    <format dxfId="41">
      <pivotArea field="5" type="button" dataOnly="0" labelOnly="1" outline="0" axis="axisRow" fieldPosition="0"/>
    </format>
    <format dxfId="40">
      <pivotArea dataOnly="0" labelOnly="1" fieldPosition="0">
        <references count="1">
          <reference field="5" count="0"/>
        </references>
      </pivotArea>
    </format>
    <format dxfId="39">
      <pivotArea dataOnly="0" labelOnly="1" grandRow="1" outline="0" fieldPosition="0"/>
    </format>
    <format dxfId="3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15E08ED-8099-429E-9DF9-98298DC8C7E2}"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Category">
  <location ref="M4:O5" firstHeaderRow="0" firstDataRow="1" firstDataCol="0"/>
  <pivotFields count="10">
    <pivotField showAll="0"/>
    <pivotField showAll="0"/>
    <pivotField dataField="1" showAll="0"/>
    <pivotField dataField="1" showAll="0"/>
    <pivotField showAll="0" measureFilter="1" sortType="descending">
      <autoSortScope>
        <pivotArea dataOnly="0" outline="0" fieldPosition="0">
          <references count="1">
            <reference field="4294967294" count="1" selected="0">
              <x v="0"/>
            </reference>
          </references>
        </pivotArea>
      </autoSortScope>
    </pivotField>
    <pivotField showAll="0"/>
    <pivotField multipleItemSelectionAllowed="1" showAll="0"/>
    <pivotField showAll="0">
      <items count="8">
        <item x="0"/>
        <item x="1"/>
        <item x="2"/>
        <item x="3"/>
        <item x="4"/>
        <item x="5"/>
        <item x="6"/>
        <item t="default"/>
      </items>
    </pivotField>
    <pivotField showAll="0"/>
    <pivotField dataField="1" showAll="0"/>
  </pivotFields>
  <rowItems count="1">
    <i/>
  </rowItems>
  <colFields count="1">
    <field x="-2"/>
  </colFields>
  <colItems count="3">
    <i>
      <x/>
    </i>
    <i i="1">
      <x v="1"/>
    </i>
    <i i="2">
      <x v="2"/>
    </i>
  </colItems>
  <dataFields count="3">
    <dataField name="Sum of Debit" fld="2" baseField="0" baseItem="0" numFmtId="166"/>
    <dataField name="Sum of Credit" fld="3" baseField="0" baseItem="0"/>
    <dataField name="Sum of Amount" fld="9" baseField="0" baseItem="0"/>
  </dataFields>
  <formats count="22">
    <format dxfId="658">
      <pivotArea outline="0" collapsedLevelsAreSubtotals="1" fieldPosition="0"/>
    </format>
    <format dxfId="657">
      <pivotArea type="all" dataOnly="0" outline="0" fieldPosition="0"/>
    </format>
    <format dxfId="656">
      <pivotArea outline="0" collapsedLevelsAreSubtotals="1" fieldPosition="0"/>
    </format>
    <format dxfId="655">
      <pivotArea dataOnly="0" labelOnly="1" outline="0" fieldPosition="0">
        <references count="1">
          <reference field="4294967294" count="3">
            <x v="0"/>
            <x v="1"/>
            <x v="2"/>
          </reference>
        </references>
      </pivotArea>
    </format>
    <format dxfId="476">
      <pivotArea type="all" dataOnly="0" outline="0" fieldPosition="0"/>
    </format>
    <format dxfId="472">
      <pivotArea outline="0" collapsedLevelsAreSubtotals="1" fieldPosition="0"/>
    </format>
    <format dxfId="471">
      <pivotArea dataOnly="0" labelOnly="1" outline="0" fieldPosition="0">
        <references count="1">
          <reference field="4294967294" count="3">
            <x v="0"/>
            <x v="1"/>
            <x v="2"/>
          </reference>
        </references>
      </pivotArea>
    </format>
    <format dxfId="384">
      <pivotArea type="all" dataOnly="0" outline="0" fieldPosition="0"/>
    </format>
    <format dxfId="383">
      <pivotArea outline="0" collapsedLevelsAreSubtotals="1" fieldPosition="0"/>
    </format>
    <format dxfId="382">
      <pivotArea dataOnly="0" labelOnly="1" outline="0" fieldPosition="0">
        <references count="1">
          <reference field="4294967294" count="3">
            <x v="0"/>
            <x v="1"/>
            <x v="2"/>
          </reference>
        </references>
      </pivotArea>
    </format>
    <format dxfId="302">
      <pivotArea type="all" dataOnly="0" outline="0" fieldPosition="0"/>
    </format>
    <format dxfId="298">
      <pivotArea outline="0" collapsedLevelsAreSubtotals="1" fieldPosition="0"/>
    </format>
    <format dxfId="297">
      <pivotArea dataOnly="0" labelOnly="1" outline="0" fieldPosition="0">
        <references count="1">
          <reference field="4294967294" count="3">
            <x v="0"/>
            <x v="1"/>
            <x v="2"/>
          </reference>
        </references>
      </pivotArea>
    </format>
    <format dxfId="210">
      <pivotArea type="all" dataOnly="0" outline="0" fieldPosition="0"/>
    </format>
    <format dxfId="209">
      <pivotArea outline="0" collapsedLevelsAreSubtotals="1" fieldPosition="0"/>
    </format>
    <format dxfId="208">
      <pivotArea dataOnly="0" labelOnly="1" outline="0" fieldPosition="0">
        <references count="1">
          <reference field="4294967294" count="3">
            <x v="0"/>
            <x v="1"/>
            <x v="2"/>
          </reference>
        </references>
      </pivotArea>
    </format>
    <format dxfId="128">
      <pivotArea type="all" dataOnly="0" outline="0" fieldPosition="0"/>
    </format>
    <format dxfId="124">
      <pivotArea outline="0" collapsedLevelsAreSubtotals="1" fieldPosition="0"/>
    </format>
    <format dxfId="123">
      <pivotArea dataOnly="0" labelOnly="1" outline="0" fieldPosition="0">
        <references count="1">
          <reference field="4294967294" count="3">
            <x v="0"/>
            <x v="1"/>
            <x v="2"/>
          </reference>
        </references>
      </pivotArea>
    </format>
    <format dxfId="36">
      <pivotArea type="all" dataOnly="0" outline="0" fieldPosition="0"/>
    </format>
    <format dxfId="35">
      <pivotArea outline="0" collapsedLevelsAreSubtotals="1" fieldPosition="0"/>
    </format>
    <format dxfId="34">
      <pivotArea dataOnly="0" labelOnly="1" outline="0" fieldPosition="0">
        <references count="1">
          <reference field="4294967294" count="3">
            <x v="0"/>
            <x v="1"/>
            <x v="2"/>
          </reference>
        </references>
      </pivotArea>
    </format>
  </formats>
  <chartFormats count="13">
    <chartFormat chart="2" format="2"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2"/>
          </reference>
        </references>
      </pivotArea>
    </chartFormat>
    <chartFormat chart="5" format="9">
      <pivotArea type="data" outline="0" fieldPosition="0">
        <references count="1">
          <reference field="4294967294" count="1" selected="0">
            <x v="2"/>
          </reference>
        </references>
      </pivotArea>
    </chartFormat>
    <chartFormat chart="5" format="10">
      <pivotArea type="data" outline="0" fieldPosition="0">
        <references count="1">
          <reference field="4294967294" count="1" selected="0">
            <x v="1"/>
          </reference>
        </references>
      </pivotArea>
    </chartFormat>
    <chartFormat chart="5" format="1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 chart="8" format="8" series="1">
      <pivotArea type="data" outline="0" fieldPosition="0">
        <references count="1">
          <reference field="4294967294" count="1" selected="0">
            <x v="2"/>
          </reference>
        </references>
      </pivotArea>
    </chartFormat>
    <chartFormat chart="8" format="9">
      <pivotArea type="data" outline="0" fieldPosition="0">
        <references count="1">
          <reference field="4294967294" count="1" selected="0">
            <x v="1"/>
          </reference>
        </references>
      </pivotArea>
    </chartFormat>
    <chartFormat chart="8" format="10">
      <pivotArea type="data" outline="0" fieldPosition="0">
        <references count="1">
          <reference field="4294967294" count="1" selected="0">
            <x v="2"/>
          </reference>
        </references>
      </pivotArea>
    </chartFormat>
    <chartFormat chart="8" format="1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C1D067A-5CFA-467E-A5F4-475402C7AD0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Category">
  <location ref="T6:U14" firstHeaderRow="1" firstDataRow="1" firstDataCol="1" rowPageCount="1" colPageCount="1"/>
  <pivotFields count="10">
    <pivotField showAll="0"/>
    <pivotField showAll="0"/>
    <pivotField dataField="1" showAll="0"/>
    <pivotField showAll="0"/>
    <pivotField showAll="0"/>
    <pivotField axis="axisRow" showAll="0">
      <items count="11">
        <item x="0"/>
        <item x="7"/>
        <item x="2"/>
        <item x="4"/>
        <item x="6"/>
        <item x="3"/>
        <item x="1"/>
        <item x="8"/>
        <item x="5"/>
        <item h="1" m="1" x="9"/>
        <item t="default"/>
      </items>
    </pivotField>
    <pivotField axis="axisPage" multipleItemSelectionAllowed="1" showAll="0">
      <items count="4">
        <item x="1"/>
        <item h="1" x="0"/>
        <item h="1" m="1" x="2"/>
        <item t="default"/>
      </items>
    </pivotField>
    <pivotField showAll="0"/>
    <pivotField showAll="0"/>
    <pivotField showAll="0"/>
  </pivotFields>
  <rowFields count="1">
    <field x="5"/>
  </rowFields>
  <rowItems count="8">
    <i>
      <x v="2"/>
    </i>
    <i>
      <x v="3"/>
    </i>
    <i>
      <x v="4"/>
    </i>
    <i>
      <x v="5"/>
    </i>
    <i>
      <x v="6"/>
    </i>
    <i>
      <x v="7"/>
    </i>
    <i>
      <x v="8"/>
    </i>
    <i t="grand">
      <x/>
    </i>
  </rowItems>
  <colItems count="1">
    <i/>
  </colItems>
  <pageFields count="1">
    <pageField fld="6" hier="-1"/>
  </pageFields>
  <dataFields count="1">
    <dataField name="Sum of Debit" fld="2" baseField="0" baseItem="0"/>
  </dataFields>
  <formats count="43">
    <format dxfId="665">
      <pivotArea outline="0" collapsedLevelsAreSubtotals="1" fieldPosition="0"/>
    </format>
    <format dxfId="664">
      <pivotArea type="all" dataOnly="0" outline="0" fieldPosition="0"/>
    </format>
    <format dxfId="663">
      <pivotArea outline="0" collapsedLevelsAreSubtotals="1" fieldPosition="0"/>
    </format>
    <format dxfId="662">
      <pivotArea field="5" type="button" dataOnly="0" labelOnly="1" outline="0" axis="axisRow" fieldPosition="0"/>
    </format>
    <format dxfId="661">
      <pivotArea dataOnly="0" labelOnly="1" fieldPosition="0">
        <references count="1">
          <reference field="5" count="7">
            <x v="2"/>
            <x v="3"/>
            <x v="4"/>
            <x v="5"/>
            <x v="6"/>
            <x v="7"/>
            <x v="8"/>
          </reference>
        </references>
      </pivotArea>
    </format>
    <format dxfId="660">
      <pivotArea dataOnly="0" labelOnly="1" grandRow="1" outline="0" fieldPosition="0"/>
    </format>
    <format dxfId="659">
      <pivotArea dataOnly="0" labelOnly="1" outline="0" axis="axisValues" fieldPosition="0"/>
    </format>
    <format dxfId="470">
      <pivotArea type="all" dataOnly="0" outline="0" fieldPosition="0"/>
    </format>
    <format dxfId="463">
      <pivotArea outline="0" collapsedLevelsAreSubtotals="1" fieldPosition="0"/>
    </format>
    <format dxfId="462">
      <pivotArea field="5" type="button" dataOnly="0" labelOnly="1" outline="0" axis="axisRow" fieldPosition="0"/>
    </format>
    <format dxfId="461">
      <pivotArea dataOnly="0" labelOnly="1" fieldPosition="0">
        <references count="1">
          <reference field="5" count="7">
            <x v="2"/>
            <x v="3"/>
            <x v="4"/>
            <x v="5"/>
            <x v="6"/>
            <x v="7"/>
            <x v="8"/>
          </reference>
        </references>
      </pivotArea>
    </format>
    <format dxfId="460">
      <pivotArea dataOnly="0" labelOnly="1" grandRow="1" outline="0" fieldPosition="0"/>
    </format>
    <format dxfId="459">
      <pivotArea dataOnly="0" labelOnly="1" outline="0" axis="axisValues" fieldPosition="0"/>
    </format>
    <format dxfId="381">
      <pivotArea type="all" dataOnly="0" outline="0" fieldPosition="0"/>
    </format>
    <format dxfId="380">
      <pivotArea outline="0" collapsedLevelsAreSubtotals="1" fieldPosition="0"/>
    </format>
    <format dxfId="379">
      <pivotArea field="5" type="button" dataOnly="0" labelOnly="1" outline="0" axis="axisRow" fieldPosition="0"/>
    </format>
    <format dxfId="378">
      <pivotArea dataOnly="0" labelOnly="1" fieldPosition="0">
        <references count="1">
          <reference field="5" count="7">
            <x v="2"/>
            <x v="3"/>
            <x v="4"/>
            <x v="5"/>
            <x v="6"/>
            <x v="7"/>
            <x v="8"/>
          </reference>
        </references>
      </pivotArea>
    </format>
    <format dxfId="377">
      <pivotArea dataOnly="0" labelOnly="1" grandRow="1" outline="0" fieldPosition="0"/>
    </format>
    <format dxfId="376">
      <pivotArea dataOnly="0" labelOnly="1" outline="0" axis="axisValues" fieldPosition="0"/>
    </format>
    <format dxfId="296">
      <pivotArea type="all" dataOnly="0" outline="0" fieldPosition="0"/>
    </format>
    <format dxfId="289">
      <pivotArea outline="0" collapsedLevelsAreSubtotals="1" fieldPosition="0"/>
    </format>
    <format dxfId="288">
      <pivotArea field="5" type="button" dataOnly="0" labelOnly="1" outline="0" axis="axisRow" fieldPosition="0"/>
    </format>
    <format dxfId="287">
      <pivotArea dataOnly="0" labelOnly="1" fieldPosition="0">
        <references count="1">
          <reference field="5" count="7">
            <x v="2"/>
            <x v="3"/>
            <x v="4"/>
            <x v="5"/>
            <x v="6"/>
            <x v="7"/>
            <x v="8"/>
          </reference>
        </references>
      </pivotArea>
    </format>
    <format dxfId="286">
      <pivotArea dataOnly="0" labelOnly="1" grandRow="1" outline="0" fieldPosition="0"/>
    </format>
    <format dxfId="285">
      <pivotArea dataOnly="0" labelOnly="1" outline="0" axis="axisValues" fieldPosition="0"/>
    </format>
    <format dxfId="207">
      <pivotArea type="all" dataOnly="0" outline="0" fieldPosition="0"/>
    </format>
    <format dxfId="206">
      <pivotArea outline="0" collapsedLevelsAreSubtotals="1" fieldPosition="0"/>
    </format>
    <format dxfId="205">
      <pivotArea field="5" type="button" dataOnly="0" labelOnly="1" outline="0" axis="axisRow" fieldPosition="0"/>
    </format>
    <format dxfId="204">
      <pivotArea dataOnly="0" labelOnly="1" fieldPosition="0">
        <references count="1">
          <reference field="5" count="7">
            <x v="2"/>
            <x v="3"/>
            <x v="4"/>
            <x v="5"/>
            <x v="6"/>
            <x v="7"/>
            <x v="8"/>
          </reference>
        </references>
      </pivotArea>
    </format>
    <format dxfId="203">
      <pivotArea dataOnly="0" labelOnly="1" grandRow="1" outline="0" fieldPosition="0"/>
    </format>
    <format dxfId="202">
      <pivotArea dataOnly="0" labelOnly="1" outline="0" axis="axisValues" fieldPosition="0"/>
    </format>
    <format dxfId="122">
      <pivotArea type="all" dataOnly="0" outline="0" fieldPosition="0"/>
    </format>
    <format dxfId="115">
      <pivotArea outline="0" collapsedLevelsAreSubtotals="1" fieldPosition="0"/>
    </format>
    <format dxfId="114">
      <pivotArea field="5" type="button" dataOnly="0" labelOnly="1" outline="0" axis="axisRow" fieldPosition="0"/>
    </format>
    <format dxfId="113">
      <pivotArea dataOnly="0" labelOnly="1" fieldPosition="0">
        <references count="1">
          <reference field="5" count="7">
            <x v="2"/>
            <x v="3"/>
            <x v="4"/>
            <x v="5"/>
            <x v="6"/>
            <x v="7"/>
            <x v="8"/>
          </reference>
        </references>
      </pivotArea>
    </format>
    <format dxfId="112">
      <pivotArea dataOnly="0" labelOnly="1" grandRow="1" outline="0" fieldPosition="0"/>
    </format>
    <format dxfId="111">
      <pivotArea dataOnly="0" labelOnly="1" outline="0" axis="axisValues" fieldPosition="0"/>
    </format>
    <format dxfId="33">
      <pivotArea type="all" dataOnly="0" outline="0" fieldPosition="0"/>
    </format>
    <format dxfId="32">
      <pivotArea outline="0" collapsedLevelsAreSubtotals="1" fieldPosition="0"/>
    </format>
    <format dxfId="31">
      <pivotArea field="5" type="button" dataOnly="0" labelOnly="1" outline="0" axis="axisRow" fieldPosition="0"/>
    </format>
    <format dxfId="30">
      <pivotArea dataOnly="0" labelOnly="1" fieldPosition="0">
        <references count="1">
          <reference field="5" count="7">
            <x v="2"/>
            <x v="3"/>
            <x v="4"/>
            <x v="5"/>
            <x v="6"/>
            <x v="7"/>
            <x v="8"/>
          </reference>
        </references>
      </pivotArea>
    </format>
    <format dxfId="29">
      <pivotArea dataOnly="0" labelOnly="1" grandRow="1" outline="0" fieldPosition="0"/>
    </format>
    <format dxfId="2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680F263-4A11-4142-B791-D97E6EC12D5D}"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Category">
  <location ref="J6:K12" firstHeaderRow="1" firstDataRow="1" firstDataCol="1" rowPageCount="1" colPageCount="1"/>
  <pivotFields count="10">
    <pivotField showAll="0"/>
    <pivotField showAll="0"/>
    <pivotField dataField="1" showAll="0"/>
    <pivotField showAll="0"/>
    <pivotField axis="axisRow" showAll="0" measureFilter="1" sortType="descending">
      <items count="22">
        <item x="6"/>
        <item x="1"/>
        <item x="16"/>
        <item x="14"/>
        <item x="11"/>
        <item x="5"/>
        <item x="15"/>
        <item x="19"/>
        <item x="4"/>
        <item x="13"/>
        <item x="2"/>
        <item x="3"/>
        <item x="10"/>
        <item x="12"/>
        <item x="7"/>
        <item x="9"/>
        <item x="17"/>
        <item x="0"/>
        <item x="18"/>
        <item m="1" x="20"/>
        <item x="8"/>
        <item t="default"/>
      </items>
      <autoSortScope>
        <pivotArea dataOnly="0" outline="0" fieldPosition="0">
          <references count="1">
            <reference field="4294967294" count="1" selected="0">
              <x v="0"/>
            </reference>
          </references>
        </pivotArea>
      </autoSortScope>
    </pivotField>
    <pivotField showAll="0"/>
    <pivotField axis="axisPage" multipleItemSelectionAllowed="1" showAll="0">
      <items count="4">
        <item x="1"/>
        <item h="1" x="0"/>
        <item h="1" m="1" x="2"/>
        <item t="default"/>
      </items>
    </pivotField>
    <pivotField showAll="0">
      <items count="8">
        <item x="0"/>
        <item x="1"/>
        <item x="2"/>
        <item x="3"/>
        <item x="4"/>
        <item x="5"/>
        <item x="6"/>
        <item t="default"/>
      </items>
    </pivotField>
    <pivotField showAll="0"/>
    <pivotField showAll="0"/>
  </pivotFields>
  <rowFields count="1">
    <field x="4"/>
  </rowFields>
  <rowItems count="6">
    <i>
      <x v="10"/>
    </i>
    <i>
      <x/>
    </i>
    <i>
      <x v="5"/>
    </i>
    <i>
      <x v="11"/>
    </i>
    <i>
      <x v="6"/>
    </i>
    <i t="grand">
      <x/>
    </i>
  </rowItems>
  <colItems count="1">
    <i/>
  </colItems>
  <pageFields count="1">
    <pageField fld="6" hier="-1"/>
  </pageFields>
  <dataFields count="1">
    <dataField name="Sum of Debit" fld="2" baseField="0" baseItem="0" numFmtId="166"/>
  </dataFields>
  <formats count="44">
    <format dxfId="673">
      <pivotArea type="all" dataOnly="0" outline="0" fieldPosition="0"/>
    </format>
    <format dxfId="672">
      <pivotArea outline="0" collapsedLevelsAreSubtotals="1" fieldPosition="0"/>
    </format>
    <format dxfId="671">
      <pivotArea field="4" type="button" dataOnly="0" labelOnly="1" outline="0" axis="axisRow" fieldPosition="0"/>
    </format>
    <format dxfId="670">
      <pivotArea dataOnly="0" labelOnly="1" fieldPosition="0">
        <references count="1">
          <reference field="4" count="5">
            <x v="0"/>
            <x v="1"/>
            <x v="5"/>
            <x v="10"/>
            <x v="11"/>
          </reference>
        </references>
      </pivotArea>
    </format>
    <format dxfId="669">
      <pivotArea dataOnly="0" labelOnly="1" grandRow="1" outline="0" fieldPosition="0"/>
    </format>
    <format dxfId="668">
      <pivotArea dataOnly="0" labelOnly="1" outline="0" axis="axisValues" fieldPosition="0"/>
    </format>
    <format dxfId="667">
      <pivotArea field="6" type="button" dataOnly="0" labelOnly="1" outline="0" axis="axisPage" fieldPosition="0"/>
    </format>
    <format dxfId="666">
      <pivotArea dataOnly="0" labelOnly="1" outline="0" fieldPosition="0">
        <references count="1">
          <reference field="6" count="0"/>
        </references>
      </pivotArea>
    </format>
    <format dxfId="457">
      <pivotArea type="all" dataOnly="0" outline="0" fieldPosition="0"/>
    </format>
    <format dxfId="450">
      <pivotArea outline="0" collapsedLevelsAreSubtotals="1" fieldPosition="0"/>
    </format>
    <format dxfId="449">
      <pivotArea field="4" type="button" dataOnly="0" labelOnly="1" outline="0" axis="axisRow" fieldPosition="0"/>
    </format>
    <format dxfId="448">
      <pivotArea dataOnly="0" labelOnly="1" fieldPosition="0">
        <references count="1">
          <reference field="4" count="5">
            <x v="0"/>
            <x v="5"/>
            <x v="6"/>
            <x v="10"/>
            <x v="11"/>
          </reference>
        </references>
      </pivotArea>
    </format>
    <format dxfId="447">
      <pivotArea dataOnly="0" labelOnly="1" grandRow="1" outline="0" fieldPosition="0"/>
    </format>
    <format dxfId="446">
      <pivotArea dataOnly="0" labelOnly="1" outline="0" axis="axisValues" fieldPosition="0"/>
    </format>
    <format dxfId="374">
      <pivotArea type="all" dataOnly="0" outline="0" fieldPosition="0"/>
    </format>
    <format dxfId="373">
      <pivotArea outline="0" collapsedLevelsAreSubtotals="1" fieldPosition="0"/>
    </format>
    <format dxfId="372">
      <pivotArea field="4" type="button" dataOnly="0" labelOnly="1" outline="0" axis="axisRow" fieldPosition="0"/>
    </format>
    <format dxfId="371">
      <pivotArea dataOnly="0" labelOnly="1" fieldPosition="0">
        <references count="1">
          <reference field="4" count="5">
            <x v="0"/>
            <x v="5"/>
            <x v="6"/>
            <x v="10"/>
            <x v="11"/>
          </reference>
        </references>
      </pivotArea>
    </format>
    <format dxfId="370">
      <pivotArea dataOnly="0" labelOnly="1" grandRow="1" outline="0" fieldPosition="0"/>
    </format>
    <format dxfId="369">
      <pivotArea dataOnly="0" labelOnly="1" outline="0" axis="axisValues" fieldPosition="0"/>
    </format>
    <format dxfId="283">
      <pivotArea type="all" dataOnly="0" outline="0" fieldPosition="0"/>
    </format>
    <format dxfId="276">
      <pivotArea outline="0" collapsedLevelsAreSubtotals="1" fieldPosition="0"/>
    </format>
    <format dxfId="275">
      <pivotArea field="4" type="button" dataOnly="0" labelOnly="1" outline="0" axis="axisRow" fieldPosition="0"/>
    </format>
    <format dxfId="274">
      <pivotArea dataOnly="0" labelOnly="1" fieldPosition="0">
        <references count="1">
          <reference field="4" count="5">
            <x v="0"/>
            <x v="5"/>
            <x v="6"/>
            <x v="10"/>
            <x v="11"/>
          </reference>
        </references>
      </pivotArea>
    </format>
    <format dxfId="273">
      <pivotArea dataOnly="0" labelOnly="1" grandRow="1" outline="0" fieldPosition="0"/>
    </format>
    <format dxfId="272">
      <pivotArea dataOnly="0" labelOnly="1" outline="0" axis="axisValues" fieldPosition="0"/>
    </format>
    <format dxfId="200">
      <pivotArea type="all" dataOnly="0" outline="0" fieldPosition="0"/>
    </format>
    <format dxfId="199">
      <pivotArea outline="0" collapsedLevelsAreSubtotals="1" fieldPosition="0"/>
    </format>
    <format dxfId="198">
      <pivotArea field="4" type="button" dataOnly="0" labelOnly="1" outline="0" axis="axisRow" fieldPosition="0"/>
    </format>
    <format dxfId="197">
      <pivotArea dataOnly="0" labelOnly="1" fieldPosition="0">
        <references count="1">
          <reference field="4" count="5">
            <x v="0"/>
            <x v="5"/>
            <x v="6"/>
            <x v="10"/>
            <x v="11"/>
          </reference>
        </references>
      </pivotArea>
    </format>
    <format dxfId="196">
      <pivotArea dataOnly="0" labelOnly="1" grandRow="1" outline="0" fieldPosition="0"/>
    </format>
    <format dxfId="195">
      <pivotArea dataOnly="0" labelOnly="1" outline="0" axis="axisValues" fieldPosition="0"/>
    </format>
    <format dxfId="109">
      <pivotArea type="all" dataOnly="0" outline="0" fieldPosition="0"/>
    </format>
    <format dxfId="102">
      <pivotArea outline="0" collapsedLevelsAreSubtotals="1" fieldPosition="0"/>
    </format>
    <format dxfId="101">
      <pivotArea field="4" type="button" dataOnly="0" labelOnly="1" outline="0" axis="axisRow" fieldPosition="0"/>
    </format>
    <format dxfId="100">
      <pivotArea dataOnly="0" labelOnly="1" fieldPosition="0">
        <references count="1">
          <reference field="4" count="5">
            <x v="0"/>
            <x v="5"/>
            <x v="6"/>
            <x v="10"/>
            <x v="11"/>
          </reference>
        </references>
      </pivotArea>
    </format>
    <format dxfId="99">
      <pivotArea dataOnly="0" labelOnly="1" grandRow="1" outline="0" fieldPosition="0"/>
    </format>
    <format dxfId="98">
      <pivotArea dataOnly="0" labelOnly="1" outline="0" axis="axisValues" fieldPosition="0"/>
    </format>
    <format dxfId="26">
      <pivotArea type="all" dataOnly="0" outline="0" fieldPosition="0"/>
    </format>
    <format dxfId="25">
      <pivotArea outline="0" collapsedLevelsAreSubtotals="1" fieldPosition="0"/>
    </format>
    <format dxfId="24">
      <pivotArea field="4" type="button" dataOnly="0" labelOnly="1" outline="0" axis="axisRow" fieldPosition="0"/>
    </format>
    <format dxfId="23">
      <pivotArea dataOnly="0" labelOnly="1" fieldPosition="0">
        <references count="1">
          <reference field="4" count="5">
            <x v="0"/>
            <x v="5"/>
            <x v="6"/>
            <x v="10"/>
            <x v="11"/>
          </reference>
        </references>
      </pivotArea>
    </format>
    <format dxfId="22">
      <pivotArea dataOnly="0" labelOnly="1" grandRow="1" outline="0" fieldPosition="0"/>
    </format>
    <format dxfId="21">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66A5ED2-94D5-4FDE-9E1B-63C22CE7B1DD}"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Month Number">
  <location ref="T19:U27" firstHeaderRow="1" firstDataRow="1" firstDataCol="1"/>
  <pivotFields count="10">
    <pivotField showAll="0"/>
    <pivotField showAll="0"/>
    <pivotField showAll="0"/>
    <pivotField showAll="0"/>
    <pivotField showAll="0"/>
    <pivotField showAll="0"/>
    <pivotField multipleItemSelectionAllowed="1" showAll="0"/>
    <pivotField axis="axisRow" showAll="0">
      <items count="8">
        <item x="0"/>
        <item x="1"/>
        <item x="2"/>
        <item x="3"/>
        <item x="4"/>
        <item x="5"/>
        <item x="6"/>
        <item t="default"/>
      </items>
    </pivotField>
    <pivotField showAll="0"/>
    <pivotField dataField="1" showAll="0"/>
  </pivotFields>
  <rowFields count="1">
    <field x="7"/>
  </rowFields>
  <rowItems count="8">
    <i>
      <x/>
    </i>
    <i>
      <x v="1"/>
    </i>
    <i>
      <x v="2"/>
    </i>
    <i>
      <x v="3"/>
    </i>
    <i>
      <x v="4"/>
    </i>
    <i>
      <x v="5"/>
    </i>
    <i>
      <x v="6"/>
    </i>
    <i t="grand">
      <x/>
    </i>
  </rowItems>
  <colItems count="1">
    <i/>
  </colItems>
  <dataFields count="1">
    <dataField name="Sum of Amount" fld="9" baseField="0" baseItem="0"/>
  </dataFields>
  <formats count="43">
    <format dxfId="680">
      <pivotArea outline="0" collapsedLevelsAreSubtotals="1" fieldPosition="0"/>
    </format>
    <format dxfId="679">
      <pivotArea type="all" dataOnly="0" outline="0" fieldPosition="0"/>
    </format>
    <format dxfId="678">
      <pivotArea outline="0" collapsedLevelsAreSubtotals="1" fieldPosition="0"/>
    </format>
    <format dxfId="677">
      <pivotArea field="7" type="button" dataOnly="0" labelOnly="1" outline="0" axis="axisRow" fieldPosition="0"/>
    </format>
    <format dxfId="676">
      <pivotArea dataOnly="0" labelOnly="1" fieldPosition="0">
        <references count="1">
          <reference field="7" count="0"/>
        </references>
      </pivotArea>
    </format>
    <format dxfId="675">
      <pivotArea dataOnly="0" labelOnly="1" grandRow="1" outline="0" fieldPosition="0"/>
    </format>
    <format dxfId="674">
      <pivotArea dataOnly="0" labelOnly="1" outline="0" axis="axisValues" fieldPosition="0"/>
    </format>
    <format dxfId="444">
      <pivotArea type="all" dataOnly="0" outline="0" fieldPosition="0"/>
    </format>
    <format dxfId="437">
      <pivotArea outline="0" collapsedLevelsAreSubtotals="1" fieldPosition="0"/>
    </format>
    <format dxfId="436">
      <pivotArea field="7" type="button" dataOnly="0" labelOnly="1" outline="0" axis="axisRow" fieldPosition="0"/>
    </format>
    <format dxfId="435">
      <pivotArea dataOnly="0" labelOnly="1" fieldPosition="0">
        <references count="1">
          <reference field="7" count="0"/>
        </references>
      </pivotArea>
    </format>
    <format dxfId="434">
      <pivotArea dataOnly="0" labelOnly="1" grandRow="1" outline="0" fieldPosition="0"/>
    </format>
    <format dxfId="433">
      <pivotArea dataOnly="0" labelOnly="1" outline="0" axis="axisValues" fieldPosition="0"/>
    </format>
    <format dxfId="367">
      <pivotArea type="all" dataOnly="0" outline="0" fieldPosition="0"/>
    </format>
    <format dxfId="366">
      <pivotArea outline="0" collapsedLevelsAreSubtotals="1" fieldPosition="0"/>
    </format>
    <format dxfId="365">
      <pivotArea field="7" type="button" dataOnly="0" labelOnly="1" outline="0" axis="axisRow" fieldPosition="0"/>
    </format>
    <format dxfId="364">
      <pivotArea dataOnly="0" labelOnly="1" fieldPosition="0">
        <references count="1">
          <reference field="7" count="0"/>
        </references>
      </pivotArea>
    </format>
    <format dxfId="363">
      <pivotArea dataOnly="0" labelOnly="1" grandRow="1" outline="0" fieldPosition="0"/>
    </format>
    <format dxfId="362">
      <pivotArea dataOnly="0" labelOnly="1" outline="0" axis="axisValues" fieldPosition="0"/>
    </format>
    <format dxfId="270">
      <pivotArea type="all" dataOnly="0" outline="0" fieldPosition="0"/>
    </format>
    <format dxfId="263">
      <pivotArea outline="0" collapsedLevelsAreSubtotals="1" fieldPosition="0"/>
    </format>
    <format dxfId="262">
      <pivotArea field="7" type="button" dataOnly="0" labelOnly="1" outline="0" axis="axisRow" fieldPosition="0"/>
    </format>
    <format dxfId="261">
      <pivotArea dataOnly="0" labelOnly="1" fieldPosition="0">
        <references count="1">
          <reference field="7" count="0"/>
        </references>
      </pivotArea>
    </format>
    <format dxfId="260">
      <pivotArea dataOnly="0" labelOnly="1" grandRow="1" outline="0" fieldPosition="0"/>
    </format>
    <format dxfId="259">
      <pivotArea dataOnly="0" labelOnly="1" outline="0" axis="axisValues" fieldPosition="0"/>
    </format>
    <format dxfId="193">
      <pivotArea type="all" dataOnly="0" outline="0" fieldPosition="0"/>
    </format>
    <format dxfId="192">
      <pivotArea outline="0" collapsedLevelsAreSubtotals="1" fieldPosition="0"/>
    </format>
    <format dxfId="191">
      <pivotArea field="7" type="button" dataOnly="0" labelOnly="1" outline="0" axis="axisRow" fieldPosition="0"/>
    </format>
    <format dxfId="190">
      <pivotArea dataOnly="0" labelOnly="1" fieldPosition="0">
        <references count="1">
          <reference field="7" count="0"/>
        </references>
      </pivotArea>
    </format>
    <format dxfId="189">
      <pivotArea dataOnly="0" labelOnly="1" grandRow="1" outline="0" fieldPosition="0"/>
    </format>
    <format dxfId="188">
      <pivotArea dataOnly="0" labelOnly="1" outline="0" axis="axisValues" fieldPosition="0"/>
    </format>
    <format dxfId="96">
      <pivotArea type="all" dataOnly="0" outline="0" fieldPosition="0"/>
    </format>
    <format dxfId="89">
      <pivotArea outline="0" collapsedLevelsAreSubtotals="1" fieldPosition="0"/>
    </format>
    <format dxfId="88">
      <pivotArea field="7" type="button" dataOnly="0" labelOnly="1" outline="0" axis="axisRow" fieldPosition="0"/>
    </format>
    <format dxfId="87">
      <pivotArea dataOnly="0" labelOnly="1" fieldPosition="0">
        <references count="1">
          <reference field="7" count="0"/>
        </references>
      </pivotArea>
    </format>
    <format dxfId="86">
      <pivotArea dataOnly="0" labelOnly="1" grandRow="1" outline="0" fieldPosition="0"/>
    </format>
    <format dxfId="85">
      <pivotArea dataOnly="0" labelOnly="1" outline="0" axis="axisValues" fieldPosition="0"/>
    </format>
    <format dxfId="19">
      <pivotArea type="all" dataOnly="0" outline="0" fieldPosition="0"/>
    </format>
    <format dxfId="18">
      <pivotArea outline="0" collapsedLevelsAreSubtotals="1" fieldPosition="0"/>
    </format>
    <format dxfId="17">
      <pivotArea field="7" type="button" dataOnly="0" labelOnly="1" outline="0" axis="axisRow" fieldPosition="0"/>
    </format>
    <format dxfId="16">
      <pivotArea dataOnly="0" labelOnly="1" fieldPosition="0">
        <references count="1">
          <reference field="7" count="0"/>
        </references>
      </pivotArea>
    </format>
    <format dxfId="15">
      <pivotArea dataOnly="0" labelOnly="1" grandRow="1" outline="0" fieldPosition="0"/>
    </format>
    <format dxfId="1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6AE3DE4-1F7D-45E3-94A2-7ADFE75FA4E7}"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0" rowHeaderCaption="Month Number">
  <location ref="W4:W11" firstHeaderRow="1" firstDataRow="1" firstDataCol="1"/>
  <pivotFields count="10">
    <pivotField showAll="0"/>
    <pivotField showAll="0"/>
    <pivotField showAll="0"/>
    <pivotField showAll="0"/>
    <pivotField showAll="0"/>
    <pivotField showAll="0"/>
    <pivotField multipleItemSelectionAllowed="1" showAll="0"/>
    <pivotField axis="axisRow" showAll="0">
      <items count="8">
        <item x="0"/>
        <item x="1"/>
        <item x="2"/>
        <item x="3"/>
        <item x="4"/>
        <item x="5"/>
        <item x="6"/>
        <item t="default"/>
      </items>
    </pivotField>
    <pivotField showAll="0"/>
    <pivotField showAll="0"/>
  </pivotFields>
  <rowFields count="1">
    <field x="7"/>
  </rowFields>
  <rowItems count="7">
    <i>
      <x/>
    </i>
    <i>
      <x v="1"/>
    </i>
    <i>
      <x v="2"/>
    </i>
    <i>
      <x v="3"/>
    </i>
    <i>
      <x v="4"/>
    </i>
    <i>
      <x v="5"/>
    </i>
    <i>
      <x v="6"/>
    </i>
  </rowItems>
  <colItems count="1">
    <i/>
  </colItems>
  <formats count="19">
    <format dxfId="681">
      <pivotArea outline="0" collapsedLevelsAreSubtotals="1" fieldPosition="0"/>
    </format>
    <format dxfId="431">
      <pivotArea type="all" dataOnly="0" outline="0" fieldPosition="0"/>
    </format>
    <format dxfId="427">
      <pivotArea field="7" type="button" dataOnly="0" labelOnly="1" outline="0" axis="axisRow" fieldPosition="0"/>
    </format>
    <format dxfId="426">
      <pivotArea dataOnly="0" labelOnly="1" fieldPosition="0">
        <references count="1">
          <reference field="7" count="0"/>
        </references>
      </pivotArea>
    </format>
    <format dxfId="360">
      <pivotArea type="all" dataOnly="0" outline="0" fieldPosition="0"/>
    </format>
    <format dxfId="359">
      <pivotArea field="7" type="button" dataOnly="0" labelOnly="1" outline="0" axis="axisRow" fieldPosition="0"/>
    </format>
    <format dxfId="358">
      <pivotArea dataOnly="0" labelOnly="1" fieldPosition="0">
        <references count="1">
          <reference field="7" count="0"/>
        </references>
      </pivotArea>
    </format>
    <format dxfId="257">
      <pivotArea type="all" dataOnly="0" outline="0" fieldPosition="0"/>
    </format>
    <format dxfId="253">
      <pivotArea field="7" type="button" dataOnly="0" labelOnly="1" outline="0" axis="axisRow" fieldPosition="0"/>
    </format>
    <format dxfId="252">
      <pivotArea dataOnly="0" labelOnly="1" fieldPosition="0">
        <references count="1">
          <reference field="7" count="0"/>
        </references>
      </pivotArea>
    </format>
    <format dxfId="186">
      <pivotArea type="all" dataOnly="0" outline="0" fieldPosition="0"/>
    </format>
    <format dxfId="185">
      <pivotArea field="7" type="button" dataOnly="0" labelOnly="1" outline="0" axis="axisRow" fieldPosition="0"/>
    </format>
    <format dxfId="184">
      <pivotArea dataOnly="0" labelOnly="1" fieldPosition="0">
        <references count="1">
          <reference field="7" count="0"/>
        </references>
      </pivotArea>
    </format>
    <format dxfId="83">
      <pivotArea type="all" dataOnly="0" outline="0" fieldPosition="0"/>
    </format>
    <format dxfId="79">
      <pivotArea field="7" type="button" dataOnly="0" labelOnly="1" outline="0" axis="axisRow" fieldPosition="0"/>
    </format>
    <format dxfId="78">
      <pivotArea dataOnly="0" labelOnly="1" fieldPosition="0">
        <references count="1">
          <reference field="7" count="0"/>
        </references>
      </pivotArea>
    </format>
    <format dxfId="12">
      <pivotArea type="all" dataOnly="0" outline="0" fieldPosition="0"/>
    </format>
    <format dxfId="11">
      <pivotArea field="7" type="button" dataOnly="0" labelOnly="1" outline="0" axis="axisRow" fieldPosition="0"/>
    </format>
    <format dxfId="10">
      <pivotArea dataOnly="0" labelOnly="1" fieldPosition="0">
        <references count="1">
          <reference field="7"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5858703-64AD-4144-8CF2-986E63C37326}"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rowHeaderCaption="Weekday">
  <location ref="G21:O30" firstHeaderRow="1" firstDataRow="2" firstDataCol="1" rowPageCount="1" colPageCount="1"/>
  <pivotFields count="10">
    <pivotField showAll="0"/>
    <pivotField showAll="0"/>
    <pivotField dataField="1" showAll="0"/>
    <pivotField showAll="0"/>
    <pivotField showAll="0"/>
    <pivotField axis="axisCol" showAll="0">
      <items count="11">
        <item x="0"/>
        <item x="7"/>
        <item x="2"/>
        <item x="4"/>
        <item x="6"/>
        <item x="3"/>
        <item x="1"/>
        <item x="8"/>
        <item x="5"/>
        <item h="1" m="1" x="9"/>
        <item t="default"/>
      </items>
    </pivotField>
    <pivotField axis="axisPage" multipleItemSelectionAllowed="1" showAll="0">
      <items count="4">
        <item x="1"/>
        <item h="1" x="0"/>
        <item h="1" m="1" x="2"/>
        <item t="default"/>
      </items>
    </pivotField>
    <pivotField showAll="0">
      <items count="8">
        <item x="0"/>
        <item x="1"/>
        <item x="2"/>
        <item x="3"/>
        <item x="4"/>
        <item x="5"/>
        <item x="6"/>
        <item t="default"/>
      </items>
    </pivotField>
    <pivotField axis="axisRow" showAll="0">
      <items count="8">
        <item n="Sun" x="5"/>
        <item n="Mon" x="6"/>
        <item n="Tue" x="0"/>
        <item n="Wed" x="1"/>
        <item n="Thu" x="2"/>
        <item n="Fri" x="3"/>
        <item n="Sat" x="4"/>
        <item t="default"/>
      </items>
    </pivotField>
    <pivotField showAll="0"/>
  </pivotFields>
  <rowFields count="1">
    <field x="8"/>
  </rowFields>
  <rowItems count="8">
    <i>
      <x/>
    </i>
    <i>
      <x v="1"/>
    </i>
    <i>
      <x v="2"/>
    </i>
    <i>
      <x v="3"/>
    </i>
    <i>
      <x v="4"/>
    </i>
    <i>
      <x v="5"/>
    </i>
    <i>
      <x v="6"/>
    </i>
    <i t="grand">
      <x/>
    </i>
  </rowItems>
  <colFields count="1">
    <field x="5"/>
  </colFields>
  <colItems count="8">
    <i>
      <x v="2"/>
    </i>
    <i>
      <x v="3"/>
    </i>
    <i>
      <x v="4"/>
    </i>
    <i>
      <x v="5"/>
    </i>
    <i>
      <x v="6"/>
    </i>
    <i>
      <x v="7"/>
    </i>
    <i>
      <x v="8"/>
    </i>
    <i t="grand">
      <x/>
    </i>
  </colItems>
  <pageFields count="1">
    <pageField fld="6" hier="-1"/>
  </pageFields>
  <dataFields count="1">
    <dataField name="Sum of Debit" fld="2" baseField="0" baseItem="0"/>
  </dataFields>
  <formats count="67">
    <format dxfId="688">
      <pivotArea outline="0" collapsedLevelsAreSubtotals="1" fieldPosition="0"/>
    </format>
    <format dxfId="687">
      <pivotArea outline="0" collapsedLevelsAreSubtotals="1" fieldPosition="0"/>
    </format>
    <format dxfId="686">
      <pivotArea field="8" type="button" dataOnly="0" labelOnly="1" outline="0" axis="axisRow" fieldPosition="0"/>
    </format>
    <format dxfId="685">
      <pivotArea dataOnly="0" labelOnly="1" fieldPosition="0">
        <references count="1">
          <reference field="8" count="0"/>
        </references>
      </pivotArea>
    </format>
    <format dxfId="684">
      <pivotArea dataOnly="0" labelOnly="1" grandRow="1" outline="0" fieldPosition="0"/>
    </format>
    <format dxfId="683">
      <pivotArea dataOnly="0" labelOnly="1" fieldPosition="0">
        <references count="1">
          <reference field="5" count="7">
            <x v="2"/>
            <x v="3"/>
            <x v="4"/>
            <x v="5"/>
            <x v="6"/>
            <x v="7"/>
            <x v="8"/>
          </reference>
        </references>
      </pivotArea>
    </format>
    <format dxfId="682">
      <pivotArea dataOnly="0" labelOnly="1" grandCol="1" outline="0" fieldPosition="0"/>
    </format>
    <format dxfId="425">
      <pivotArea type="all" dataOnly="0" outline="0" fieldPosition="0"/>
    </format>
    <format dxfId="414">
      <pivotArea outline="0" collapsedLevelsAreSubtotals="1" fieldPosition="0"/>
    </format>
    <format dxfId="413">
      <pivotArea type="origin" dataOnly="0" labelOnly="1" outline="0" fieldPosition="0"/>
    </format>
    <format dxfId="412">
      <pivotArea field="5" type="button" dataOnly="0" labelOnly="1" outline="0" axis="axisCol" fieldPosition="0"/>
    </format>
    <format dxfId="411">
      <pivotArea type="topRight" dataOnly="0" labelOnly="1" outline="0" fieldPosition="0"/>
    </format>
    <format dxfId="410">
      <pivotArea field="8" type="button" dataOnly="0" labelOnly="1" outline="0" axis="axisRow" fieldPosition="0"/>
    </format>
    <format dxfId="409">
      <pivotArea dataOnly="0" labelOnly="1" fieldPosition="0">
        <references count="1">
          <reference field="8" count="0"/>
        </references>
      </pivotArea>
    </format>
    <format dxfId="408">
      <pivotArea dataOnly="0" labelOnly="1" grandRow="1" outline="0" fieldPosition="0"/>
    </format>
    <format dxfId="407">
      <pivotArea dataOnly="0" labelOnly="1" fieldPosition="0">
        <references count="1">
          <reference field="5" count="7">
            <x v="2"/>
            <x v="3"/>
            <x v="4"/>
            <x v="5"/>
            <x v="6"/>
            <x v="7"/>
            <x v="8"/>
          </reference>
        </references>
      </pivotArea>
    </format>
    <format dxfId="406">
      <pivotArea dataOnly="0" labelOnly="1" grandCol="1" outline="0" fieldPosition="0"/>
    </format>
    <format dxfId="357">
      <pivotArea type="all" dataOnly="0" outline="0" fieldPosition="0"/>
    </format>
    <format dxfId="356">
      <pivotArea outline="0" collapsedLevelsAreSubtotals="1" fieldPosition="0"/>
    </format>
    <format dxfId="355">
      <pivotArea type="origin" dataOnly="0" labelOnly="1" outline="0" fieldPosition="0"/>
    </format>
    <format dxfId="354">
      <pivotArea field="5" type="button" dataOnly="0" labelOnly="1" outline="0" axis="axisCol" fieldPosition="0"/>
    </format>
    <format dxfId="353">
      <pivotArea type="topRight" dataOnly="0" labelOnly="1" outline="0" fieldPosition="0"/>
    </format>
    <format dxfId="352">
      <pivotArea field="8" type="button" dataOnly="0" labelOnly="1" outline="0" axis="axisRow" fieldPosition="0"/>
    </format>
    <format dxfId="351">
      <pivotArea dataOnly="0" labelOnly="1" fieldPosition="0">
        <references count="1">
          <reference field="8" count="0"/>
        </references>
      </pivotArea>
    </format>
    <format dxfId="350">
      <pivotArea dataOnly="0" labelOnly="1" grandRow="1" outline="0" fieldPosition="0"/>
    </format>
    <format dxfId="349">
      <pivotArea dataOnly="0" labelOnly="1" fieldPosition="0">
        <references count="1">
          <reference field="5" count="7">
            <x v="2"/>
            <x v="3"/>
            <x v="4"/>
            <x v="5"/>
            <x v="6"/>
            <x v="7"/>
            <x v="8"/>
          </reference>
        </references>
      </pivotArea>
    </format>
    <format dxfId="348">
      <pivotArea dataOnly="0" labelOnly="1" grandCol="1" outline="0" fieldPosition="0"/>
    </format>
    <format dxfId="251">
      <pivotArea type="all" dataOnly="0" outline="0" fieldPosition="0"/>
    </format>
    <format dxfId="240">
      <pivotArea outline="0" collapsedLevelsAreSubtotals="1" fieldPosition="0"/>
    </format>
    <format dxfId="239">
      <pivotArea type="origin" dataOnly="0" labelOnly="1" outline="0" fieldPosition="0"/>
    </format>
    <format dxfId="238">
      <pivotArea field="5" type="button" dataOnly="0" labelOnly="1" outline="0" axis="axisCol" fieldPosition="0"/>
    </format>
    <format dxfId="237">
      <pivotArea type="topRight" dataOnly="0" labelOnly="1" outline="0" fieldPosition="0"/>
    </format>
    <format dxfId="236">
      <pivotArea field="8" type="button" dataOnly="0" labelOnly="1" outline="0" axis="axisRow" fieldPosition="0"/>
    </format>
    <format dxfId="235">
      <pivotArea dataOnly="0" labelOnly="1" fieldPosition="0">
        <references count="1">
          <reference field="8" count="0"/>
        </references>
      </pivotArea>
    </format>
    <format dxfId="234">
      <pivotArea dataOnly="0" labelOnly="1" grandRow="1" outline="0" fieldPosition="0"/>
    </format>
    <format dxfId="233">
      <pivotArea dataOnly="0" labelOnly="1" fieldPosition="0">
        <references count="1">
          <reference field="5" count="7">
            <x v="2"/>
            <x v="3"/>
            <x v="4"/>
            <x v="5"/>
            <x v="6"/>
            <x v="7"/>
            <x v="8"/>
          </reference>
        </references>
      </pivotArea>
    </format>
    <format dxfId="232">
      <pivotArea dataOnly="0" labelOnly="1" grandCol="1" outline="0" fieldPosition="0"/>
    </format>
    <format dxfId="183">
      <pivotArea type="all" dataOnly="0" outline="0" fieldPosition="0"/>
    </format>
    <format dxfId="182">
      <pivotArea outline="0" collapsedLevelsAreSubtotals="1" fieldPosition="0"/>
    </format>
    <format dxfId="181">
      <pivotArea type="origin" dataOnly="0" labelOnly="1" outline="0" fieldPosition="0"/>
    </format>
    <format dxfId="180">
      <pivotArea field="5" type="button" dataOnly="0" labelOnly="1" outline="0" axis="axisCol" fieldPosition="0"/>
    </format>
    <format dxfId="179">
      <pivotArea type="topRight" dataOnly="0" labelOnly="1" outline="0" fieldPosition="0"/>
    </format>
    <format dxfId="178">
      <pivotArea field="8" type="button" dataOnly="0" labelOnly="1" outline="0" axis="axisRow" fieldPosition="0"/>
    </format>
    <format dxfId="177">
      <pivotArea dataOnly="0" labelOnly="1" fieldPosition="0">
        <references count="1">
          <reference field="8" count="0"/>
        </references>
      </pivotArea>
    </format>
    <format dxfId="176">
      <pivotArea dataOnly="0" labelOnly="1" grandRow="1" outline="0" fieldPosition="0"/>
    </format>
    <format dxfId="175">
      <pivotArea dataOnly="0" labelOnly="1" fieldPosition="0">
        <references count="1">
          <reference field="5" count="7">
            <x v="2"/>
            <x v="3"/>
            <x v="4"/>
            <x v="5"/>
            <x v="6"/>
            <x v="7"/>
            <x v="8"/>
          </reference>
        </references>
      </pivotArea>
    </format>
    <format dxfId="174">
      <pivotArea dataOnly="0" labelOnly="1" grandCol="1" outline="0" fieldPosition="0"/>
    </format>
    <format dxfId="77">
      <pivotArea type="all" dataOnly="0" outline="0" fieldPosition="0"/>
    </format>
    <format dxfId="66">
      <pivotArea outline="0" collapsedLevelsAreSubtotals="1" fieldPosition="0"/>
    </format>
    <format dxfId="65">
      <pivotArea type="origin" dataOnly="0" labelOnly="1" outline="0" fieldPosition="0"/>
    </format>
    <format dxfId="64">
      <pivotArea field="5" type="button" dataOnly="0" labelOnly="1" outline="0" axis="axisCol" fieldPosition="0"/>
    </format>
    <format dxfId="63">
      <pivotArea type="topRight" dataOnly="0" labelOnly="1" outline="0" fieldPosition="0"/>
    </format>
    <format dxfId="62">
      <pivotArea field="8" type="button" dataOnly="0" labelOnly="1" outline="0" axis="axisRow" fieldPosition="0"/>
    </format>
    <format dxfId="61">
      <pivotArea dataOnly="0" labelOnly="1" fieldPosition="0">
        <references count="1">
          <reference field="8" count="0"/>
        </references>
      </pivotArea>
    </format>
    <format dxfId="60">
      <pivotArea dataOnly="0" labelOnly="1" grandRow="1" outline="0" fieldPosition="0"/>
    </format>
    <format dxfId="59">
      <pivotArea dataOnly="0" labelOnly="1" fieldPosition="0">
        <references count="1">
          <reference field="5" count="7">
            <x v="2"/>
            <x v="3"/>
            <x v="4"/>
            <x v="5"/>
            <x v="6"/>
            <x v="7"/>
            <x v="8"/>
          </reference>
        </references>
      </pivotArea>
    </format>
    <format dxfId="58">
      <pivotArea dataOnly="0" labelOnly="1" grandCol="1" outline="0" fieldPosition="0"/>
    </format>
    <format dxfId="9">
      <pivotArea type="all" dataOnly="0" outline="0" fieldPosition="0"/>
    </format>
    <format dxfId="8">
      <pivotArea outline="0" collapsedLevelsAreSubtotals="1" fieldPosition="0"/>
    </format>
    <format dxfId="7">
      <pivotArea type="origin" dataOnly="0" labelOnly="1" outline="0" fieldPosition="0"/>
    </format>
    <format dxfId="6">
      <pivotArea field="5" type="button" dataOnly="0" labelOnly="1" outline="0" axis="axisCol" fieldPosition="0"/>
    </format>
    <format dxfId="5">
      <pivotArea type="topRight" dataOnly="0" labelOnly="1" outline="0" fieldPosition="0"/>
    </format>
    <format dxfId="4">
      <pivotArea field="8" type="button" dataOnly="0" labelOnly="1" outline="0" axis="axisRow" fieldPosition="0"/>
    </format>
    <format dxfId="3">
      <pivotArea dataOnly="0" labelOnly="1" fieldPosition="0">
        <references count="1">
          <reference field="8" count="0"/>
        </references>
      </pivotArea>
    </format>
    <format dxfId="2">
      <pivotArea dataOnly="0" labelOnly="1" grandRow="1" outline="0" fieldPosition="0"/>
    </format>
    <format dxfId="1">
      <pivotArea dataOnly="0" labelOnly="1" fieldPosition="0">
        <references count="1">
          <reference field="5" count="7">
            <x v="2"/>
            <x v="3"/>
            <x v="4"/>
            <x v="5"/>
            <x v="6"/>
            <x v="7"/>
            <x v="8"/>
          </reference>
        </references>
      </pivotArea>
    </format>
    <format dxfId="0">
      <pivotArea dataOnly="0" labelOnly="1" grandCol="1" outline="0" fieldPosition="0"/>
    </format>
  </formats>
  <chartFormats count="7">
    <chartFormat chart="12" format="14" series="1">
      <pivotArea type="data" outline="0" fieldPosition="0">
        <references count="2">
          <reference field="4294967294" count="1" selected="0">
            <x v="0"/>
          </reference>
          <reference field="5" count="1" selected="0">
            <x v="2"/>
          </reference>
        </references>
      </pivotArea>
    </chartFormat>
    <chartFormat chart="12" format="15" series="1">
      <pivotArea type="data" outline="0" fieldPosition="0">
        <references count="2">
          <reference field="4294967294" count="1" selected="0">
            <x v="0"/>
          </reference>
          <reference field="5" count="1" selected="0">
            <x v="3"/>
          </reference>
        </references>
      </pivotArea>
    </chartFormat>
    <chartFormat chart="12" format="16" series="1">
      <pivotArea type="data" outline="0" fieldPosition="0">
        <references count="2">
          <reference field="4294967294" count="1" selected="0">
            <x v="0"/>
          </reference>
          <reference field="5" count="1" selected="0">
            <x v="4"/>
          </reference>
        </references>
      </pivotArea>
    </chartFormat>
    <chartFormat chart="12" format="17" series="1">
      <pivotArea type="data" outline="0" fieldPosition="0">
        <references count="2">
          <reference field="4294967294" count="1" selected="0">
            <x v="0"/>
          </reference>
          <reference field="5" count="1" selected="0">
            <x v="5"/>
          </reference>
        </references>
      </pivotArea>
    </chartFormat>
    <chartFormat chart="12" format="18" series="1">
      <pivotArea type="data" outline="0" fieldPosition="0">
        <references count="2">
          <reference field="4294967294" count="1" selected="0">
            <x v="0"/>
          </reference>
          <reference field="5" count="1" selected="0">
            <x v="6"/>
          </reference>
        </references>
      </pivotArea>
    </chartFormat>
    <chartFormat chart="12" format="19" series="1">
      <pivotArea type="data" outline="0" fieldPosition="0">
        <references count="2">
          <reference field="4294967294" count="1" selected="0">
            <x v="0"/>
          </reference>
          <reference field="5" count="1" selected="0">
            <x v="7"/>
          </reference>
        </references>
      </pivotArea>
    </chartFormat>
    <chartFormat chart="12" format="20" series="1">
      <pivotArea type="data" outline="0" fieldPosition="0">
        <references count="2">
          <reference field="4294967294" count="1" selected="0">
            <x v="0"/>
          </reference>
          <reference field="5"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42EEBEB-E445-4A2B-B230-8CE85EC8BABC}" sourceName="Category">
  <pivotTables>
    <pivotTable tabId="4" name="PivotTable11"/>
  </pivotTables>
  <data>
    <tabular pivotCacheId="1840924597" showMissing="0">
      <items count="10">
        <i x="8" s="1"/>
        <i x="1" s="1"/>
        <i x="4" s="1"/>
        <i x="2" s="1"/>
        <i x="5" s="1"/>
        <i x="3" s="1"/>
        <i x="6" s="1"/>
        <i x="7" s="1" nd="1"/>
        <i x="0" s="1" nd="1"/>
        <i x="9"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umber" xr10:uid="{4C1CE90C-52A6-4E59-BCDF-DD7D7F2C9262}" sourceName="Month Number">
  <pivotTables>
    <pivotTable tabId="4" name="PivotTable7"/>
    <pivotTable tabId="4" name="PivotTable3"/>
    <pivotTable tabId="4" name="PivotTable6"/>
    <pivotTable tabId="4" name="PivotTable4"/>
    <pivotTable tabId="4" name="PivotTable1"/>
  </pivotTables>
  <data>
    <tabular pivotCacheId="1840924597">
      <items count="7">
        <i x="0" s="1"/>
        <i x="1" s="1"/>
        <i x="2" s="1"/>
        <i x="3" s="1"/>
        <i x="4" s="1"/>
        <i x="5" s="1"/>
        <i x="6"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269CA347-BCB5-41A7-8AFC-812A9A1C2635}" cache="Slicer_Category" caption="Category" columnCount="2" showCaption="0" rowHeight="241300"/>
  <slicer name="Month Number" xr10:uid="{E1F0D653-756A-421C-8F48-77A98600FD23}" cache="Slicer_Month_Number" caption="Month Number" columnCount="3" showCaption="0" style="SlicerStyleOther2" rowHeight="25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931EA5-90A1-4D02-B976-9E96515D3AB6}" name="Table1" displayName="Table1" ref="A1:J345" totalsRowShown="0">
  <autoFilter ref="A1:J345" xr:uid="{8D931EA5-90A1-4D02-B976-9E96515D3AB6}"/>
  <tableColumns count="10">
    <tableColumn id="1" xr3:uid="{400DC1A3-CBB3-4FE6-92EE-AC76D1E33E77}" name="Date" dataDxfId="692"/>
    <tableColumn id="2" xr3:uid="{E442022C-04A0-4F5A-96BD-67753042E53C}" name="Description"/>
    <tableColumn id="3" xr3:uid="{87E43916-3106-4846-910A-45BBB60D744F}" name="Debit"/>
    <tableColumn id="4" xr3:uid="{056C9610-F8CD-461E-BCE6-9708A488602B}" name="Credit"/>
    <tableColumn id="5" xr3:uid="{385F2926-C263-4AC8-8B80-685D8B55A23E}" name="Sub-category"/>
    <tableColumn id="6" xr3:uid="{C240705E-23D2-4A9A-BC32-A03157C97AB3}" name="Category"/>
    <tableColumn id="7" xr3:uid="{746D7105-995D-4BA5-81BA-C16BFE82CA20}" name="Category Type"/>
    <tableColumn id="8" xr3:uid="{8FED872B-67FF-46AC-80FC-805761D2F2C7}" name="Month Number" dataDxfId="691">
      <calculatedColumnFormula>MONTH(Table1[[#This Row],[Date]])</calculatedColumnFormula>
    </tableColumn>
    <tableColumn id="9" xr3:uid="{D4F6DBC9-1857-4E45-BEF8-06C8C6218960}" name="Weekday" dataDxfId="690">
      <calculatedColumnFormula>WEEKDAY(Table1[[#This Row],[Date]])</calculatedColumnFormula>
    </tableColumn>
    <tableColumn id="10" xr3:uid="{53672C0B-CE6C-4DA4-8AB5-713F6FF1F73A}" name="Amount" dataDxfId="689">
      <calculatedColumnFormula>Table1[[#This Row],[Credit]]-Table1[[#This Row],[Debit]]</calculatedColumnFormula>
    </tableColumn>
  </tableColumns>
  <tableStyleInfo name="TableStyleDark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2.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A9A64-6262-44E8-853D-0ADA87FDD4B0}">
  <sheetPr codeName="Sheet1"/>
  <dimension ref="A1:J345"/>
  <sheetViews>
    <sheetView workbookViewId="0">
      <selection activeCell="L8" sqref="L8"/>
    </sheetView>
  </sheetViews>
  <sheetFormatPr defaultRowHeight="14.4" x14ac:dyDescent="0.3"/>
  <cols>
    <col min="1" max="1" width="17" style="1" customWidth="1"/>
    <col min="2" max="2" width="17.109375" customWidth="1"/>
    <col min="3" max="3" width="9.44140625" customWidth="1"/>
    <col min="4" max="4" width="9.33203125" customWidth="1"/>
    <col min="5" max="5" width="16.109375" customWidth="1"/>
    <col min="6" max="6" width="19.109375" customWidth="1"/>
    <col min="7" max="7" width="14.6640625" customWidth="1"/>
    <col min="8" max="8" width="13.77734375" customWidth="1"/>
    <col min="9" max="9" width="9.77734375" style="2" customWidth="1"/>
  </cols>
  <sheetData>
    <row r="1" spans="1:10" x14ac:dyDescent="0.3">
      <c r="A1" s="1" t="s">
        <v>0</v>
      </c>
      <c r="B1" t="s">
        <v>1</v>
      </c>
      <c r="C1" t="s">
        <v>2</v>
      </c>
      <c r="D1" t="s">
        <v>3</v>
      </c>
      <c r="E1" t="s">
        <v>4</v>
      </c>
      <c r="F1" t="s">
        <v>5</v>
      </c>
      <c r="G1" t="s">
        <v>6</v>
      </c>
      <c r="H1" t="s">
        <v>44</v>
      </c>
      <c r="I1" s="2" t="s">
        <v>45</v>
      </c>
      <c r="J1" t="s">
        <v>46</v>
      </c>
    </row>
    <row r="2" spans="1:10" x14ac:dyDescent="0.3">
      <c r="A2" s="1">
        <v>44565</v>
      </c>
      <c r="B2" t="s">
        <v>7</v>
      </c>
      <c r="D2">
        <v>5000</v>
      </c>
      <c r="E2" t="s">
        <v>64</v>
      </c>
      <c r="F2" t="s">
        <v>8</v>
      </c>
      <c r="G2" t="s">
        <v>9</v>
      </c>
      <c r="H2">
        <f>MONTH(Table1[[#This Row],[Date]])</f>
        <v>1</v>
      </c>
      <c r="I2" s="2">
        <f>WEEKDAY(Table1[[#This Row],[Date]])</f>
        <v>3</v>
      </c>
      <c r="J2">
        <f>Table1[[#This Row],[Credit]]-Table1[[#This Row],[Debit]]</f>
        <v>5000</v>
      </c>
    </row>
    <row r="3" spans="1:10" x14ac:dyDescent="0.3">
      <c r="A3" s="1">
        <v>44565</v>
      </c>
      <c r="B3" t="s">
        <v>10</v>
      </c>
      <c r="C3">
        <v>5</v>
      </c>
      <c r="E3" t="s">
        <v>11</v>
      </c>
      <c r="F3" t="s">
        <v>12</v>
      </c>
      <c r="G3" t="s">
        <v>13</v>
      </c>
      <c r="H3">
        <f>MONTH(Table1[[#This Row],[Date]])</f>
        <v>1</v>
      </c>
      <c r="I3" s="2">
        <f>WEEKDAY(Table1[[#This Row],[Date]])</f>
        <v>3</v>
      </c>
      <c r="J3">
        <f>Table1[[#This Row],[Credit]]-Table1[[#This Row],[Debit]]</f>
        <v>-5</v>
      </c>
    </row>
    <row r="4" spans="1:10" x14ac:dyDescent="0.3">
      <c r="A4" s="1">
        <v>44566</v>
      </c>
      <c r="B4" t="s">
        <v>53</v>
      </c>
      <c r="C4">
        <v>900</v>
      </c>
      <c r="E4" t="s">
        <v>16</v>
      </c>
      <c r="F4" t="s">
        <v>14</v>
      </c>
      <c r="G4" t="s">
        <v>13</v>
      </c>
      <c r="H4">
        <f>MONTH(Table1[[#This Row],[Date]])</f>
        <v>1</v>
      </c>
      <c r="I4" s="2">
        <f>WEEKDAY(Table1[[#This Row],[Date]])</f>
        <v>4</v>
      </c>
      <c r="J4">
        <f>Table1[[#This Row],[Credit]]-Table1[[#This Row],[Debit]]</f>
        <v>-900</v>
      </c>
    </row>
    <row r="5" spans="1:10" x14ac:dyDescent="0.3">
      <c r="A5" s="1">
        <v>44566</v>
      </c>
      <c r="B5" t="s">
        <v>72</v>
      </c>
      <c r="C5">
        <v>150</v>
      </c>
      <c r="E5" t="s">
        <v>71</v>
      </c>
      <c r="F5" t="s">
        <v>90</v>
      </c>
      <c r="G5" t="s">
        <v>13</v>
      </c>
      <c r="H5">
        <f>MONTH(Table1[[#This Row],[Date]])</f>
        <v>1</v>
      </c>
      <c r="I5" s="2">
        <f>WEEKDAY(Table1[[#This Row],[Date]])</f>
        <v>4</v>
      </c>
      <c r="J5">
        <f>Table1[[#This Row],[Credit]]-Table1[[#This Row],[Debit]]</f>
        <v>-150</v>
      </c>
    </row>
    <row r="6" spans="1:10" x14ac:dyDescent="0.3">
      <c r="A6" s="1">
        <v>44566</v>
      </c>
      <c r="B6" t="s">
        <v>10</v>
      </c>
      <c r="C6">
        <v>5</v>
      </c>
      <c r="E6" t="s">
        <v>11</v>
      </c>
      <c r="F6" t="s">
        <v>12</v>
      </c>
      <c r="G6" t="s">
        <v>13</v>
      </c>
      <c r="H6">
        <f>MONTH(Table1[[#This Row],[Date]])</f>
        <v>1</v>
      </c>
      <c r="I6" s="2">
        <f>WEEKDAY(Table1[[#This Row],[Date]])</f>
        <v>4</v>
      </c>
      <c r="J6">
        <f>Table1[[#This Row],[Credit]]-Table1[[#This Row],[Debit]]</f>
        <v>-5</v>
      </c>
    </row>
    <row r="7" spans="1:10" x14ac:dyDescent="0.3">
      <c r="A7" s="1">
        <v>44567</v>
      </c>
      <c r="B7" t="s">
        <v>10</v>
      </c>
      <c r="C7">
        <v>5</v>
      </c>
      <c r="E7" t="s">
        <v>11</v>
      </c>
      <c r="F7" t="s">
        <v>12</v>
      </c>
      <c r="G7" t="s">
        <v>13</v>
      </c>
      <c r="H7">
        <f>MONTH(Table1[[#This Row],[Date]])</f>
        <v>1</v>
      </c>
      <c r="I7" s="2">
        <f>WEEKDAY(Table1[[#This Row],[Date]])</f>
        <v>5</v>
      </c>
      <c r="J7">
        <f>Table1[[#This Row],[Credit]]-Table1[[#This Row],[Debit]]</f>
        <v>-5</v>
      </c>
    </row>
    <row r="8" spans="1:10" x14ac:dyDescent="0.3">
      <c r="A8" s="1">
        <v>44568</v>
      </c>
      <c r="B8" t="s">
        <v>10</v>
      </c>
      <c r="C8">
        <v>5</v>
      </c>
      <c r="E8" t="s">
        <v>11</v>
      </c>
      <c r="F8" t="s">
        <v>12</v>
      </c>
      <c r="G8" t="s">
        <v>13</v>
      </c>
      <c r="H8">
        <f>MONTH(Table1[[#This Row],[Date]])</f>
        <v>1</v>
      </c>
      <c r="I8" s="2">
        <f>WEEKDAY(Table1[[#This Row],[Date]])</f>
        <v>6</v>
      </c>
      <c r="J8">
        <f>Table1[[#This Row],[Credit]]-Table1[[#This Row],[Debit]]</f>
        <v>-5</v>
      </c>
    </row>
    <row r="9" spans="1:10" x14ac:dyDescent="0.3">
      <c r="A9" s="1">
        <v>44569</v>
      </c>
      <c r="B9" t="s">
        <v>10</v>
      </c>
      <c r="C9">
        <v>5</v>
      </c>
      <c r="E9" t="s">
        <v>11</v>
      </c>
      <c r="F9" t="s">
        <v>12</v>
      </c>
      <c r="G9" t="s">
        <v>13</v>
      </c>
      <c r="H9">
        <f>MONTH(Table1[[#This Row],[Date]])</f>
        <v>1</v>
      </c>
      <c r="I9" s="2">
        <f>WEEKDAY(Table1[[#This Row],[Date]])</f>
        <v>7</v>
      </c>
      <c r="J9">
        <f>Table1[[#This Row],[Credit]]-Table1[[#This Row],[Debit]]</f>
        <v>-5</v>
      </c>
    </row>
    <row r="10" spans="1:10" x14ac:dyDescent="0.3">
      <c r="A10" s="1">
        <v>44569</v>
      </c>
      <c r="B10" t="s">
        <v>53</v>
      </c>
      <c r="C10">
        <v>155</v>
      </c>
      <c r="E10" t="s">
        <v>16</v>
      </c>
      <c r="F10" t="s">
        <v>14</v>
      </c>
      <c r="G10" t="s">
        <v>13</v>
      </c>
      <c r="H10">
        <f>MONTH(Table1[[#This Row],[Date]])</f>
        <v>1</v>
      </c>
      <c r="I10" s="2">
        <f>WEEKDAY(Table1[[#This Row],[Date]])</f>
        <v>7</v>
      </c>
      <c r="J10">
        <f>Table1[[#This Row],[Credit]]-Table1[[#This Row],[Debit]]</f>
        <v>-155</v>
      </c>
    </row>
    <row r="11" spans="1:10" x14ac:dyDescent="0.3">
      <c r="A11" s="1">
        <v>44572</v>
      </c>
      <c r="B11" t="s">
        <v>17</v>
      </c>
      <c r="C11">
        <v>50</v>
      </c>
      <c r="E11" t="s">
        <v>18</v>
      </c>
      <c r="F11" t="s">
        <v>14</v>
      </c>
      <c r="G11" t="s">
        <v>13</v>
      </c>
      <c r="H11">
        <f>MONTH(Table1[[#This Row],[Date]])</f>
        <v>1</v>
      </c>
      <c r="I11" s="2">
        <f>WEEKDAY(Table1[[#This Row],[Date]])</f>
        <v>3</v>
      </c>
      <c r="J11">
        <f>Table1[[#This Row],[Credit]]-Table1[[#This Row],[Debit]]</f>
        <v>-50</v>
      </c>
    </row>
    <row r="12" spans="1:10" x14ac:dyDescent="0.3">
      <c r="A12" s="1">
        <v>44572</v>
      </c>
      <c r="B12" t="s">
        <v>10</v>
      </c>
      <c r="C12">
        <v>5</v>
      </c>
      <c r="E12" t="s">
        <v>11</v>
      </c>
      <c r="F12" t="s">
        <v>12</v>
      </c>
      <c r="G12" t="s">
        <v>13</v>
      </c>
      <c r="H12">
        <f>MONTH(Table1[[#This Row],[Date]])</f>
        <v>1</v>
      </c>
      <c r="I12" s="2">
        <f>WEEKDAY(Table1[[#This Row],[Date]])</f>
        <v>3</v>
      </c>
      <c r="J12">
        <f>Table1[[#This Row],[Credit]]-Table1[[#This Row],[Debit]]</f>
        <v>-5</v>
      </c>
    </row>
    <row r="13" spans="1:10" x14ac:dyDescent="0.3">
      <c r="A13" s="1">
        <v>44573</v>
      </c>
      <c r="B13" t="s">
        <v>10</v>
      </c>
      <c r="C13">
        <v>5</v>
      </c>
      <c r="E13" t="s">
        <v>11</v>
      </c>
      <c r="F13" t="s">
        <v>12</v>
      </c>
      <c r="G13" t="s">
        <v>13</v>
      </c>
      <c r="H13">
        <f>MONTH(Table1[[#This Row],[Date]])</f>
        <v>1</v>
      </c>
      <c r="I13" s="2">
        <f>WEEKDAY(Table1[[#This Row],[Date]])</f>
        <v>4</v>
      </c>
      <c r="J13">
        <f>Table1[[#This Row],[Credit]]-Table1[[#This Row],[Debit]]</f>
        <v>-5</v>
      </c>
    </row>
    <row r="14" spans="1:10" x14ac:dyDescent="0.3">
      <c r="A14" s="1">
        <v>44574</v>
      </c>
      <c r="B14" t="s">
        <v>19</v>
      </c>
      <c r="C14">
        <v>77</v>
      </c>
      <c r="E14" t="s">
        <v>11</v>
      </c>
      <c r="F14" t="s">
        <v>12</v>
      </c>
      <c r="G14" t="s">
        <v>13</v>
      </c>
      <c r="H14">
        <f>MONTH(Table1[[#This Row],[Date]])</f>
        <v>1</v>
      </c>
      <c r="I14" s="2">
        <f>WEEKDAY(Table1[[#This Row],[Date]])</f>
        <v>5</v>
      </c>
      <c r="J14">
        <f>Table1[[#This Row],[Credit]]-Table1[[#This Row],[Debit]]</f>
        <v>-77</v>
      </c>
    </row>
    <row r="15" spans="1:10" x14ac:dyDescent="0.3">
      <c r="A15" s="1">
        <v>44574</v>
      </c>
      <c r="B15" t="s">
        <v>10</v>
      </c>
      <c r="C15">
        <v>5</v>
      </c>
      <c r="E15" t="s">
        <v>11</v>
      </c>
      <c r="F15" t="s">
        <v>12</v>
      </c>
      <c r="G15" t="s">
        <v>13</v>
      </c>
      <c r="H15">
        <f>MONTH(Table1[[#This Row],[Date]])</f>
        <v>1</v>
      </c>
      <c r="I15" s="2">
        <f>WEEKDAY(Table1[[#This Row],[Date]])</f>
        <v>5</v>
      </c>
      <c r="J15">
        <f>Table1[[#This Row],[Credit]]-Table1[[#This Row],[Debit]]</f>
        <v>-5</v>
      </c>
    </row>
    <row r="16" spans="1:10" x14ac:dyDescent="0.3">
      <c r="A16" s="1">
        <v>44575</v>
      </c>
      <c r="B16" t="s">
        <v>10</v>
      </c>
      <c r="C16">
        <v>5</v>
      </c>
      <c r="E16" t="s">
        <v>11</v>
      </c>
      <c r="F16" t="s">
        <v>12</v>
      </c>
      <c r="G16" t="s">
        <v>13</v>
      </c>
      <c r="H16">
        <f>MONTH(Table1[[#This Row],[Date]])</f>
        <v>1</v>
      </c>
      <c r="I16" s="2">
        <f>WEEKDAY(Table1[[#This Row],[Date]])</f>
        <v>6</v>
      </c>
      <c r="J16">
        <f>Table1[[#This Row],[Credit]]-Table1[[#This Row],[Debit]]</f>
        <v>-5</v>
      </c>
    </row>
    <row r="17" spans="1:10" x14ac:dyDescent="0.3">
      <c r="A17" s="1">
        <v>44576</v>
      </c>
      <c r="B17" t="s">
        <v>53</v>
      </c>
      <c r="C17">
        <v>135</v>
      </c>
      <c r="E17" t="s">
        <v>16</v>
      </c>
      <c r="F17" t="s">
        <v>14</v>
      </c>
      <c r="G17" t="s">
        <v>13</v>
      </c>
      <c r="H17">
        <f>MONTH(Table1[[#This Row],[Date]])</f>
        <v>1</v>
      </c>
      <c r="I17" s="2">
        <f>WEEKDAY(Table1[[#This Row],[Date]])</f>
        <v>7</v>
      </c>
      <c r="J17">
        <f>Table1[[#This Row],[Credit]]-Table1[[#This Row],[Debit]]</f>
        <v>-135</v>
      </c>
    </row>
    <row r="18" spans="1:10" x14ac:dyDescent="0.3">
      <c r="A18" s="1">
        <v>44576</v>
      </c>
      <c r="B18" t="s">
        <v>10</v>
      </c>
      <c r="C18">
        <v>5</v>
      </c>
      <c r="E18" t="s">
        <v>11</v>
      </c>
      <c r="F18" t="s">
        <v>12</v>
      </c>
      <c r="G18" t="s">
        <v>13</v>
      </c>
      <c r="H18">
        <f>MONTH(Table1[[#This Row],[Date]])</f>
        <v>1</v>
      </c>
      <c r="I18" s="2">
        <f>WEEKDAY(Table1[[#This Row],[Date]])</f>
        <v>7</v>
      </c>
      <c r="J18">
        <f>Table1[[#This Row],[Credit]]-Table1[[#This Row],[Debit]]</f>
        <v>-5</v>
      </c>
    </row>
    <row r="19" spans="1:10" x14ac:dyDescent="0.3">
      <c r="A19" s="1">
        <v>44577</v>
      </c>
      <c r="B19" t="s">
        <v>10</v>
      </c>
      <c r="C19">
        <v>5</v>
      </c>
      <c r="E19" t="s">
        <v>11</v>
      </c>
      <c r="F19" t="s">
        <v>12</v>
      </c>
      <c r="G19" t="s">
        <v>13</v>
      </c>
      <c r="H19">
        <f>MONTH(Table1[[#This Row],[Date]])</f>
        <v>1</v>
      </c>
      <c r="I19" s="2">
        <f>WEEKDAY(Table1[[#This Row],[Date]])</f>
        <v>1</v>
      </c>
      <c r="J19">
        <f>Table1[[#This Row],[Credit]]-Table1[[#This Row],[Debit]]</f>
        <v>-5</v>
      </c>
    </row>
    <row r="20" spans="1:10" x14ac:dyDescent="0.3">
      <c r="A20" s="1">
        <v>44577</v>
      </c>
      <c r="B20" t="s">
        <v>20</v>
      </c>
      <c r="C20">
        <v>40</v>
      </c>
      <c r="E20" t="s">
        <v>21</v>
      </c>
      <c r="F20" t="s">
        <v>22</v>
      </c>
      <c r="G20" t="s">
        <v>13</v>
      </c>
      <c r="H20">
        <f>MONTH(Table1[[#This Row],[Date]])</f>
        <v>1</v>
      </c>
      <c r="I20" s="2">
        <f>WEEKDAY(Table1[[#This Row],[Date]])</f>
        <v>1</v>
      </c>
      <c r="J20">
        <f>Table1[[#This Row],[Credit]]-Table1[[#This Row],[Debit]]</f>
        <v>-40</v>
      </c>
    </row>
    <row r="21" spans="1:10" x14ac:dyDescent="0.3">
      <c r="A21" s="1">
        <v>44577</v>
      </c>
      <c r="B21" t="s">
        <v>69</v>
      </c>
      <c r="C21">
        <v>98</v>
      </c>
      <c r="E21" t="s">
        <v>24</v>
      </c>
      <c r="F21" t="s">
        <v>22</v>
      </c>
      <c r="G21" t="s">
        <v>13</v>
      </c>
      <c r="H21">
        <f>MONTH(Table1[[#This Row],[Date]])</f>
        <v>1</v>
      </c>
      <c r="I21" s="2">
        <f>WEEKDAY(Table1[[#This Row],[Date]])</f>
        <v>1</v>
      </c>
      <c r="J21">
        <f>Table1[[#This Row],[Credit]]-Table1[[#This Row],[Debit]]</f>
        <v>-98</v>
      </c>
    </row>
    <row r="22" spans="1:10" x14ac:dyDescent="0.3">
      <c r="A22" s="1">
        <v>44577</v>
      </c>
      <c r="B22" t="s">
        <v>25</v>
      </c>
      <c r="C22">
        <v>52</v>
      </c>
      <c r="E22" t="s">
        <v>26</v>
      </c>
      <c r="F22" t="s">
        <v>12</v>
      </c>
      <c r="G22" t="s">
        <v>13</v>
      </c>
      <c r="H22">
        <f>MONTH(Table1[[#This Row],[Date]])</f>
        <v>1</v>
      </c>
      <c r="I22" s="2">
        <f>WEEKDAY(Table1[[#This Row],[Date]])</f>
        <v>1</v>
      </c>
      <c r="J22">
        <f>Table1[[#This Row],[Credit]]-Table1[[#This Row],[Debit]]</f>
        <v>-52</v>
      </c>
    </row>
    <row r="23" spans="1:10" x14ac:dyDescent="0.3">
      <c r="A23" s="1">
        <v>44578</v>
      </c>
      <c r="B23" t="s">
        <v>128</v>
      </c>
      <c r="C23">
        <v>50</v>
      </c>
      <c r="E23" t="s">
        <v>129</v>
      </c>
      <c r="F23" t="s">
        <v>39</v>
      </c>
      <c r="G23" t="s">
        <v>13</v>
      </c>
      <c r="H23">
        <f>MONTH(Table1[[#This Row],[Date]])</f>
        <v>1</v>
      </c>
      <c r="I23" s="2">
        <f>WEEKDAY(Table1[[#This Row],[Date]])</f>
        <v>2</v>
      </c>
      <c r="J23">
        <f>Table1[[#This Row],[Credit]]-Table1[[#This Row],[Debit]]</f>
        <v>-50</v>
      </c>
    </row>
    <row r="24" spans="1:10" x14ac:dyDescent="0.3">
      <c r="A24" s="1">
        <v>44578</v>
      </c>
      <c r="B24" t="s">
        <v>48</v>
      </c>
      <c r="C24">
        <v>28</v>
      </c>
      <c r="E24" t="s">
        <v>27</v>
      </c>
      <c r="F24" t="s">
        <v>15</v>
      </c>
      <c r="G24" t="s">
        <v>13</v>
      </c>
      <c r="H24">
        <f>MONTH(Table1[[#This Row],[Date]])</f>
        <v>1</v>
      </c>
      <c r="I24" s="2">
        <f>WEEKDAY(Table1[[#This Row],[Date]])</f>
        <v>2</v>
      </c>
      <c r="J24">
        <f>Table1[[#This Row],[Credit]]-Table1[[#This Row],[Debit]]</f>
        <v>-28</v>
      </c>
    </row>
    <row r="25" spans="1:10" x14ac:dyDescent="0.3">
      <c r="A25" s="1">
        <v>44579</v>
      </c>
      <c r="B25" t="s">
        <v>9</v>
      </c>
      <c r="D25">
        <v>4500</v>
      </c>
      <c r="E25" t="s">
        <v>49</v>
      </c>
      <c r="F25" t="s">
        <v>28</v>
      </c>
      <c r="G25" t="s">
        <v>9</v>
      </c>
      <c r="H25">
        <f>MONTH(Table1[[#This Row],[Date]])</f>
        <v>1</v>
      </c>
      <c r="I25" s="2">
        <f>WEEKDAY(Table1[[#This Row],[Date]])</f>
        <v>3</v>
      </c>
      <c r="J25">
        <f>Table1[[#This Row],[Credit]]-Table1[[#This Row],[Debit]]</f>
        <v>4500</v>
      </c>
    </row>
    <row r="26" spans="1:10" x14ac:dyDescent="0.3">
      <c r="A26" s="1">
        <v>44579</v>
      </c>
      <c r="B26" t="s">
        <v>10</v>
      </c>
      <c r="C26">
        <v>5</v>
      </c>
      <c r="E26" t="s">
        <v>11</v>
      </c>
      <c r="F26" t="s">
        <v>12</v>
      </c>
      <c r="G26" t="s">
        <v>13</v>
      </c>
      <c r="H26">
        <f>MONTH(Table1[[#This Row],[Date]])</f>
        <v>1</v>
      </c>
      <c r="I26" s="2">
        <f>WEEKDAY(Table1[[#This Row],[Date]])</f>
        <v>3</v>
      </c>
      <c r="J26">
        <f>Table1[[#This Row],[Credit]]-Table1[[#This Row],[Debit]]</f>
        <v>-5</v>
      </c>
    </row>
    <row r="27" spans="1:10" x14ac:dyDescent="0.3">
      <c r="A27" s="1">
        <v>44580</v>
      </c>
      <c r="B27" t="s">
        <v>10</v>
      </c>
      <c r="C27">
        <v>5</v>
      </c>
      <c r="E27" t="s">
        <v>11</v>
      </c>
      <c r="F27" t="s">
        <v>12</v>
      </c>
      <c r="G27" t="s">
        <v>13</v>
      </c>
      <c r="H27">
        <f>MONTH(Table1[[#This Row],[Date]])</f>
        <v>1</v>
      </c>
      <c r="I27" s="2">
        <f>WEEKDAY(Table1[[#This Row],[Date]])</f>
        <v>4</v>
      </c>
      <c r="J27">
        <f>Table1[[#This Row],[Credit]]-Table1[[#This Row],[Debit]]</f>
        <v>-5</v>
      </c>
    </row>
    <row r="28" spans="1:10" x14ac:dyDescent="0.3">
      <c r="A28" s="1">
        <v>44580</v>
      </c>
      <c r="B28" t="s">
        <v>9</v>
      </c>
      <c r="D28">
        <v>4500</v>
      </c>
      <c r="E28" t="s">
        <v>47</v>
      </c>
      <c r="F28" t="s">
        <v>28</v>
      </c>
      <c r="G28" t="s">
        <v>9</v>
      </c>
      <c r="H28">
        <f>MONTH(Table1[[#This Row],[Date]])</f>
        <v>1</v>
      </c>
      <c r="I28" s="2">
        <f>WEEKDAY(Table1[[#This Row],[Date]])</f>
        <v>4</v>
      </c>
      <c r="J28">
        <f>Table1[[#This Row],[Credit]]-Table1[[#This Row],[Debit]]</f>
        <v>4500</v>
      </c>
    </row>
    <row r="29" spans="1:10" x14ac:dyDescent="0.3">
      <c r="A29" s="1">
        <v>44580</v>
      </c>
      <c r="B29" t="s">
        <v>29</v>
      </c>
      <c r="C29">
        <v>40</v>
      </c>
      <c r="E29" t="s">
        <v>29</v>
      </c>
      <c r="F29" t="s">
        <v>14</v>
      </c>
      <c r="G29" t="s">
        <v>13</v>
      </c>
      <c r="H29">
        <f>MONTH(Table1[[#This Row],[Date]])</f>
        <v>1</v>
      </c>
      <c r="I29" s="2">
        <f>WEEKDAY(Table1[[#This Row],[Date]])</f>
        <v>4</v>
      </c>
      <c r="J29">
        <f>Table1[[#This Row],[Credit]]-Table1[[#This Row],[Debit]]</f>
        <v>-40</v>
      </c>
    </row>
    <row r="30" spans="1:10" x14ac:dyDescent="0.3">
      <c r="A30" s="1">
        <v>44581</v>
      </c>
      <c r="B30" t="s">
        <v>50</v>
      </c>
      <c r="C30">
        <v>45</v>
      </c>
      <c r="E30" t="s">
        <v>30</v>
      </c>
      <c r="F30" t="s">
        <v>22</v>
      </c>
      <c r="G30" t="s">
        <v>13</v>
      </c>
      <c r="H30">
        <f>MONTH(Table1[[#This Row],[Date]])</f>
        <v>1</v>
      </c>
      <c r="I30" s="2">
        <f>WEEKDAY(Table1[[#This Row],[Date]])</f>
        <v>5</v>
      </c>
      <c r="J30">
        <f>Table1[[#This Row],[Credit]]-Table1[[#This Row],[Debit]]</f>
        <v>-45</v>
      </c>
    </row>
    <row r="31" spans="1:10" x14ac:dyDescent="0.3">
      <c r="A31" s="1">
        <v>44581</v>
      </c>
      <c r="B31" t="s">
        <v>31</v>
      </c>
      <c r="C31">
        <v>32</v>
      </c>
      <c r="E31" t="s">
        <v>21</v>
      </c>
      <c r="F31" t="s">
        <v>22</v>
      </c>
      <c r="G31" t="s">
        <v>13</v>
      </c>
      <c r="H31">
        <f>MONTH(Table1[[#This Row],[Date]])</f>
        <v>1</v>
      </c>
      <c r="I31" s="2">
        <f>WEEKDAY(Table1[[#This Row],[Date]])</f>
        <v>5</v>
      </c>
      <c r="J31">
        <f>Table1[[#This Row],[Credit]]-Table1[[#This Row],[Debit]]</f>
        <v>-32</v>
      </c>
    </row>
    <row r="32" spans="1:10" x14ac:dyDescent="0.3">
      <c r="A32" s="1">
        <v>44581</v>
      </c>
      <c r="B32" t="s">
        <v>10</v>
      </c>
      <c r="C32">
        <v>5</v>
      </c>
      <c r="E32" t="s">
        <v>11</v>
      </c>
      <c r="F32" t="s">
        <v>12</v>
      </c>
      <c r="G32" t="s">
        <v>13</v>
      </c>
      <c r="H32">
        <f>MONTH(Table1[[#This Row],[Date]])</f>
        <v>1</v>
      </c>
      <c r="I32" s="2">
        <f>WEEKDAY(Table1[[#This Row],[Date]])</f>
        <v>5</v>
      </c>
      <c r="J32">
        <f>Table1[[#This Row],[Credit]]-Table1[[#This Row],[Debit]]</f>
        <v>-5</v>
      </c>
    </row>
    <row r="33" spans="1:10" x14ac:dyDescent="0.3">
      <c r="A33" s="1">
        <v>44582</v>
      </c>
      <c r="B33" t="s">
        <v>10</v>
      </c>
      <c r="C33">
        <v>5</v>
      </c>
      <c r="E33" t="s">
        <v>11</v>
      </c>
      <c r="F33" t="s">
        <v>12</v>
      </c>
      <c r="G33" t="s">
        <v>13</v>
      </c>
      <c r="H33">
        <f>MONTH(Table1[[#This Row],[Date]])</f>
        <v>1</v>
      </c>
      <c r="I33" s="2">
        <f>WEEKDAY(Table1[[#This Row],[Date]])</f>
        <v>6</v>
      </c>
      <c r="J33">
        <f>Table1[[#This Row],[Credit]]-Table1[[#This Row],[Debit]]</f>
        <v>-5</v>
      </c>
    </row>
    <row r="34" spans="1:10" x14ac:dyDescent="0.3">
      <c r="A34" s="1">
        <v>44583</v>
      </c>
      <c r="B34" t="s">
        <v>10</v>
      </c>
      <c r="C34">
        <v>5</v>
      </c>
      <c r="E34" t="s">
        <v>11</v>
      </c>
      <c r="F34" t="s">
        <v>12</v>
      </c>
      <c r="G34" t="s">
        <v>13</v>
      </c>
      <c r="H34">
        <f>MONTH(Table1[[#This Row],[Date]])</f>
        <v>1</v>
      </c>
      <c r="I34" s="2">
        <f>WEEKDAY(Table1[[#This Row],[Date]])</f>
        <v>7</v>
      </c>
      <c r="J34">
        <f>Table1[[#This Row],[Credit]]-Table1[[#This Row],[Debit]]</f>
        <v>-5</v>
      </c>
    </row>
    <row r="35" spans="1:10" x14ac:dyDescent="0.3">
      <c r="A35" s="1">
        <v>44583</v>
      </c>
      <c r="B35" t="s">
        <v>53</v>
      </c>
      <c r="C35">
        <v>170</v>
      </c>
      <c r="E35" t="s">
        <v>16</v>
      </c>
      <c r="F35" t="s">
        <v>14</v>
      </c>
      <c r="G35" t="s">
        <v>13</v>
      </c>
      <c r="H35">
        <f>MONTH(Table1[[#This Row],[Date]])</f>
        <v>1</v>
      </c>
      <c r="I35" s="2">
        <f>WEEKDAY(Table1[[#This Row],[Date]])</f>
        <v>7</v>
      </c>
      <c r="J35">
        <f>Table1[[#This Row],[Credit]]-Table1[[#This Row],[Debit]]</f>
        <v>-170</v>
      </c>
    </row>
    <row r="36" spans="1:10" x14ac:dyDescent="0.3">
      <c r="A36" s="1">
        <v>44584</v>
      </c>
      <c r="B36" t="s">
        <v>52</v>
      </c>
      <c r="C36">
        <v>37</v>
      </c>
      <c r="E36" t="s">
        <v>26</v>
      </c>
      <c r="F36" t="s">
        <v>12</v>
      </c>
      <c r="G36" t="s">
        <v>13</v>
      </c>
      <c r="H36">
        <f>MONTH(Table1[[#This Row],[Date]])</f>
        <v>1</v>
      </c>
      <c r="I36" s="2">
        <f>WEEKDAY(Table1[[#This Row],[Date]])</f>
        <v>1</v>
      </c>
      <c r="J36">
        <f>Table1[[#This Row],[Credit]]-Table1[[#This Row],[Debit]]</f>
        <v>-37</v>
      </c>
    </row>
    <row r="37" spans="1:10" x14ac:dyDescent="0.3">
      <c r="A37" s="1">
        <v>44585</v>
      </c>
      <c r="B37" t="s">
        <v>51</v>
      </c>
      <c r="C37">
        <v>12</v>
      </c>
      <c r="E37" t="s">
        <v>26</v>
      </c>
      <c r="F37" t="s">
        <v>12</v>
      </c>
      <c r="G37" t="s">
        <v>13</v>
      </c>
      <c r="H37">
        <f>MONTH(Table1[[#This Row],[Date]])</f>
        <v>1</v>
      </c>
      <c r="I37" s="2">
        <f>WEEKDAY(Table1[[#This Row],[Date]])</f>
        <v>2</v>
      </c>
      <c r="J37">
        <f>Table1[[#This Row],[Credit]]-Table1[[#This Row],[Debit]]</f>
        <v>-12</v>
      </c>
    </row>
    <row r="38" spans="1:10" x14ac:dyDescent="0.3">
      <c r="A38" s="1">
        <v>44586</v>
      </c>
      <c r="B38" t="s">
        <v>32</v>
      </c>
      <c r="C38">
        <v>55</v>
      </c>
      <c r="E38" t="s">
        <v>33</v>
      </c>
      <c r="F38" t="s">
        <v>34</v>
      </c>
      <c r="G38" t="s">
        <v>13</v>
      </c>
      <c r="H38">
        <f>MONTH(Table1[[#This Row],[Date]])</f>
        <v>1</v>
      </c>
      <c r="I38" s="2">
        <f>WEEKDAY(Table1[[#This Row],[Date]])</f>
        <v>3</v>
      </c>
      <c r="J38">
        <f>Table1[[#This Row],[Credit]]-Table1[[#This Row],[Debit]]</f>
        <v>-55</v>
      </c>
    </row>
    <row r="39" spans="1:10" x14ac:dyDescent="0.3">
      <c r="A39" s="1">
        <v>44586</v>
      </c>
      <c r="B39" t="s">
        <v>19</v>
      </c>
      <c r="C39">
        <v>63</v>
      </c>
      <c r="E39" t="s">
        <v>35</v>
      </c>
      <c r="F39" t="s">
        <v>15</v>
      </c>
      <c r="G39" t="s">
        <v>13</v>
      </c>
      <c r="H39">
        <f>MONTH(Table1[[#This Row],[Date]])</f>
        <v>1</v>
      </c>
      <c r="I39" s="2">
        <f>WEEKDAY(Table1[[#This Row],[Date]])</f>
        <v>3</v>
      </c>
      <c r="J39">
        <f>Table1[[#This Row],[Credit]]-Table1[[#This Row],[Debit]]</f>
        <v>-63</v>
      </c>
    </row>
    <row r="40" spans="1:10" x14ac:dyDescent="0.3">
      <c r="A40" s="1">
        <v>44586</v>
      </c>
      <c r="B40" t="s">
        <v>10</v>
      </c>
      <c r="C40">
        <v>5</v>
      </c>
      <c r="E40" t="s">
        <v>11</v>
      </c>
      <c r="F40" t="s">
        <v>12</v>
      </c>
      <c r="G40" t="s">
        <v>13</v>
      </c>
      <c r="H40">
        <f>MONTH(Table1[[#This Row],[Date]])</f>
        <v>1</v>
      </c>
      <c r="I40" s="2">
        <f>WEEKDAY(Table1[[#This Row],[Date]])</f>
        <v>3</v>
      </c>
      <c r="J40">
        <f>Table1[[#This Row],[Credit]]-Table1[[#This Row],[Debit]]</f>
        <v>-5</v>
      </c>
    </row>
    <row r="41" spans="1:10" x14ac:dyDescent="0.3">
      <c r="A41" s="1">
        <v>44587</v>
      </c>
      <c r="B41" t="s">
        <v>10</v>
      </c>
      <c r="C41">
        <v>5</v>
      </c>
      <c r="E41" t="s">
        <v>11</v>
      </c>
      <c r="F41" t="s">
        <v>12</v>
      </c>
      <c r="G41" t="s">
        <v>13</v>
      </c>
      <c r="H41">
        <f>MONTH(Table1[[#This Row],[Date]])</f>
        <v>1</v>
      </c>
      <c r="I41" s="2">
        <f>WEEKDAY(Table1[[#This Row],[Date]])</f>
        <v>4</v>
      </c>
      <c r="J41">
        <f>Table1[[#This Row],[Credit]]-Table1[[#This Row],[Debit]]</f>
        <v>-5</v>
      </c>
    </row>
    <row r="42" spans="1:10" x14ac:dyDescent="0.3">
      <c r="A42" s="1">
        <v>44588</v>
      </c>
      <c r="B42" t="s">
        <v>10</v>
      </c>
      <c r="C42">
        <v>5</v>
      </c>
      <c r="E42" t="s">
        <v>11</v>
      </c>
      <c r="F42" t="s">
        <v>12</v>
      </c>
      <c r="G42" t="s">
        <v>13</v>
      </c>
      <c r="H42">
        <f>MONTH(Table1[[#This Row],[Date]])</f>
        <v>1</v>
      </c>
      <c r="I42" s="2">
        <f>WEEKDAY(Table1[[#This Row],[Date]])</f>
        <v>5</v>
      </c>
      <c r="J42">
        <f>Table1[[#This Row],[Credit]]-Table1[[#This Row],[Debit]]</f>
        <v>-5</v>
      </c>
    </row>
    <row r="43" spans="1:10" x14ac:dyDescent="0.3">
      <c r="A43" s="1">
        <v>44589</v>
      </c>
      <c r="B43" t="s">
        <v>10</v>
      </c>
      <c r="C43">
        <v>5</v>
      </c>
      <c r="E43" t="s">
        <v>11</v>
      </c>
      <c r="F43" t="s">
        <v>12</v>
      </c>
      <c r="G43" t="s">
        <v>13</v>
      </c>
      <c r="H43">
        <f>MONTH(Table1[[#This Row],[Date]])</f>
        <v>1</v>
      </c>
      <c r="I43" s="2">
        <f>WEEKDAY(Table1[[#This Row],[Date]])</f>
        <v>6</v>
      </c>
      <c r="J43">
        <f>Table1[[#This Row],[Credit]]-Table1[[#This Row],[Debit]]</f>
        <v>-5</v>
      </c>
    </row>
    <row r="44" spans="1:10" x14ac:dyDescent="0.3">
      <c r="A44" s="1">
        <v>44590</v>
      </c>
      <c r="B44" t="s">
        <v>10</v>
      </c>
      <c r="C44">
        <v>5</v>
      </c>
      <c r="E44" t="s">
        <v>11</v>
      </c>
      <c r="F44" t="s">
        <v>12</v>
      </c>
      <c r="G44" t="s">
        <v>13</v>
      </c>
      <c r="H44">
        <f>MONTH(Table1[[#This Row],[Date]])</f>
        <v>1</v>
      </c>
      <c r="I44" s="2">
        <f>WEEKDAY(Table1[[#This Row],[Date]])</f>
        <v>7</v>
      </c>
      <c r="J44">
        <f>Table1[[#This Row],[Credit]]-Table1[[#This Row],[Debit]]</f>
        <v>-5</v>
      </c>
    </row>
    <row r="45" spans="1:10" x14ac:dyDescent="0.3">
      <c r="A45" s="1">
        <v>44590</v>
      </c>
      <c r="B45" t="s">
        <v>53</v>
      </c>
      <c r="C45">
        <v>162</v>
      </c>
      <c r="E45" t="s">
        <v>16</v>
      </c>
      <c r="F45" t="s">
        <v>14</v>
      </c>
      <c r="G45" t="s">
        <v>13</v>
      </c>
      <c r="H45">
        <f>MONTH(Table1[[#This Row],[Date]])</f>
        <v>1</v>
      </c>
      <c r="I45" s="2">
        <f>WEEKDAY(Table1[[#This Row],[Date]])</f>
        <v>7</v>
      </c>
      <c r="J45">
        <f>Table1[[#This Row],[Credit]]-Table1[[#This Row],[Debit]]</f>
        <v>-162</v>
      </c>
    </row>
    <row r="46" spans="1:10" x14ac:dyDescent="0.3">
      <c r="A46" s="1">
        <v>44591</v>
      </c>
      <c r="B46" t="s">
        <v>54</v>
      </c>
      <c r="C46">
        <v>125</v>
      </c>
      <c r="E46" t="s">
        <v>24</v>
      </c>
      <c r="F46" t="s">
        <v>22</v>
      </c>
      <c r="G46" t="s">
        <v>13</v>
      </c>
      <c r="H46">
        <f>MONTH(Table1[[#This Row],[Date]])</f>
        <v>1</v>
      </c>
      <c r="I46" s="2">
        <f>WEEKDAY(Table1[[#This Row],[Date]])</f>
        <v>1</v>
      </c>
      <c r="J46">
        <f>Table1[[#This Row],[Credit]]-Table1[[#This Row],[Debit]]</f>
        <v>-125</v>
      </c>
    </row>
    <row r="47" spans="1:10" x14ac:dyDescent="0.3">
      <c r="A47" s="1">
        <v>44591</v>
      </c>
      <c r="B47" t="s">
        <v>55</v>
      </c>
      <c r="C47">
        <v>175</v>
      </c>
      <c r="E47" t="s">
        <v>21</v>
      </c>
      <c r="F47" t="s">
        <v>22</v>
      </c>
      <c r="G47" t="s">
        <v>13</v>
      </c>
      <c r="H47">
        <f>MONTH(Table1[[#This Row],[Date]])</f>
        <v>1</v>
      </c>
      <c r="I47" s="2">
        <f>WEEKDAY(Table1[[#This Row],[Date]])</f>
        <v>1</v>
      </c>
      <c r="J47">
        <f>Table1[[#This Row],[Credit]]-Table1[[#This Row],[Debit]]</f>
        <v>-175</v>
      </c>
    </row>
    <row r="48" spans="1:10" x14ac:dyDescent="0.3">
      <c r="A48" s="1">
        <v>44592</v>
      </c>
      <c r="B48" t="s">
        <v>63</v>
      </c>
      <c r="C48">
        <v>145</v>
      </c>
      <c r="E48" t="s">
        <v>24</v>
      </c>
      <c r="F48" t="s">
        <v>22</v>
      </c>
      <c r="G48" t="s">
        <v>13</v>
      </c>
      <c r="H48">
        <f>MONTH(Table1[[#This Row],[Date]])</f>
        <v>1</v>
      </c>
      <c r="I48" s="2">
        <f>WEEKDAY(Table1[[#This Row],[Date]])</f>
        <v>2</v>
      </c>
      <c r="J48">
        <f>Table1[[#This Row],[Credit]]-Table1[[#This Row],[Debit]]</f>
        <v>-145</v>
      </c>
    </row>
    <row r="49" spans="1:10" x14ac:dyDescent="0.3">
      <c r="A49" s="1">
        <v>44592</v>
      </c>
      <c r="B49" t="s">
        <v>48</v>
      </c>
      <c r="C49">
        <v>23</v>
      </c>
      <c r="E49" t="s">
        <v>27</v>
      </c>
      <c r="F49" t="s">
        <v>15</v>
      </c>
      <c r="G49" t="s">
        <v>13</v>
      </c>
      <c r="H49">
        <f>MONTH(Table1[[#This Row],[Date]])</f>
        <v>1</v>
      </c>
      <c r="I49" s="2">
        <f>WEEKDAY(Table1[[#This Row],[Date]])</f>
        <v>2</v>
      </c>
      <c r="J49">
        <f>Table1[[#This Row],[Credit]]-Table1[[#This Row],[Debit]]</f>
        <v>-23</v>
      </c>
    </row>
    <row r="50" spans="1:10" x14ac:dyDescent="0.3">
      <c r="A50" s="1">
        <v>44593</v>
      </c>
      <c r="B50" t="s">
        <v>7</v>
      </c>
      <c r="D50">
        <v>5000</v>
      </c>
      <c r="E50" t="s">
        <v>64</v>
      </c>
      <c r="F50" t="s">
        <v>8</v>
      </c>
      <c r="G50" t="s">
        <v>9</v>
      </c>
      <c r="H50">
        <f>MONTH(Table1[[#This Row],[Date]])</f>
        <v>2</v>
      </c>
      <c r="I50" s="2">
        <f>WEEKDAY(Table1[[#This Row],[Date]])</f>
        <v>3</v>
      </c>
      <c r="J50">
        <f>Table1[[#This Row],[Credit]]-Table1[[#This Row],[Debit]]</f>
        <v>5000</v>
      </c>
    </row>
    <row r="51" spans="1:10" x14ac:dyDescent="0.3">
      <c r="A51" s="1">
        <v>44593</v>
      </c>
      <c r="B51" t="s">
        <v>10</v>
      </c>
      <c r="C51">
        <v>5</v>
      </c>
      <c r="E51" t="s">
        <v>11</v>
      </c>
      <c r="F51" t="s">
        <v>12</v>
      </c>
      <c r="G51" t="s">
        <v>13</v>
      </c>
      <c r="H51">
        <f>MONTH(Table1[[#This Row],[Date]])</f>
        <v>2</v>
      </c>
      <c r="I51" s="2">
        <f>WEEKDAY(Table1[[#This Row],[Date]])</f>
        <v>3</v>
      </c>
      <c r="J51">
        <f>Table1[[#This Row],[Credit]]-Table1[[#This Row],[Debit]]</f>
        <v>-5</v>
      </c>
    </row>
    <row r="52" spans="1:10" x14ac:dyDescent="0.3">
      <c r="A52" s="1">
        <v>44594</v>
      </c>
      <c r="B52" t="s">
        <v>53</v>
      </c>
      <c r="C52">
        <v>600</v>
      </c>
      <c r="E52" t="s">
        <v>16</v>
      </c>
      <c r="F52" t="s">
        <v>14</v>
      </c>
      <c r="G52" t="s">
        <v>13</v>
      </c>
      <c r="H52">
        <f>MONTH(Table1[[#This Row],[Date]])</f>
        <v>2</v>
      </c>
      <c r="I52" s="2">
        <f>WEEKDAY(Table1[[#This Row],[Date]])</f>
        <v>4</v>
      </c>
      <c r="J52">
        <f>Table1[[#This Row],[Credit]]-Table1[[#This Row],[Debit]]</f>
        <v>-600</v>
      </c>
    </row>
    <row r="53" spans="1:10" x14ac:dyDescent="0.3">
      <c r="A53" s="1">
        <v>44594</v>
      </c>
      <c r="B53" t="s">
        <v>72</v>
      </c>
      <c r="C53">
        <v>150</v>
      </c>
      <c r="E53" t="s">
        <v>71</v>
      </c>
      <c r="F53" t="s">
        <v>90</v>
      </c>
      <c r="G53" t="s">
        <v>13</v>
      </c>
      <c r="H53">
        <f>MONTH(Table1[[#This Row],[Date]])</f>
        <v>2</v>
      </c>
      <c r="I53" s="2">
        <f>WEEKDAY(Table1[[#This Row],[Date]])</f>
        <v>4</v>
      </c>
      <c r="J53">
        <f>Table1[[#This Row],[Credit]]-Table1[[#This Row],[Debit]]</f>
        <v>-150</v>
      </c>
    </row>
    <row r="54" spans="1:10" x14ac:dyDescent="0.3">
      <c r="A54" s="1">
        <v>44594</v>
      </c>
      <c r="B54" t="s">
        <v>10</v>
      </c>
      <c r="C54">
        <v>5</v>
      </c>
      <c r="E54" t="s">
        <v>11</v>
      </c>
      <c r="F54" t="s">
        <v>12</v>
      </c>
      <c r="G54" t="s">
        <v>13</v>
      </c>
      <c r="H54">
        <f>MONTH(Table1[[#This Row],[Date]])</f>
        <v>2</v>
      </c>
      <c r="I54" s="2">
        <f>WEEKDAY(Table1[[#This Row],[Date]])</f>
        <v>4</v>
      </c>
      <c r="J54">
        <f>Table1[[#This Row],[Credit]]-Table1[[#This Row],[Debit]]</f>
        <v>-5</v>
      </c>
    </row>
    <row r="55" spans="1:10" x14ac:dyDescent="0.3">
      <c r="A55" s="1">
        <v>44595</v>
      </c>
      <c r="B55" t="s">
        <v>10</v>
      </c>
      <c r="C55">
        <v>5</v>
      </c>
      <c r="E55" t="s">
        <v>11</v>
      </c>
      <c r="F55" t="s">
        <v>12</v>
      </c>
      <c r="G55" t="s">
        <v>13</v>
      </c>
      <c r="H55">
        <f>MONTH(Table1[[#This Row],[Date]])</f>
        <v>2</v>
      </c>
      <c r="I55" s="2">
        <f>WEEKDAY(Table1[[#This Row],[Date]])</f>
        <v>5</v>
      </c>
      <c r="J55">
        <f>Table1[[#This Row],[Credit]]-Table1[[#This Row],[Debit]]</f>
        <v>-5</v>
      </c>
    </row>
    <row r="56" spans="1:10" x14ac:dyDescent="0.3">
      <c r="A56" s="1">
        <v>44596</v>
      </c>
      <c r="B56" t="s">
        <v>10</v>
      </c>
      <c r="C56">
        <v>5</v>
      </c>
      <c r="E56" t="s">
        <v>11</v>
      </c>
      <c r="F56" t="s">
        <v>12</v>
      </c>
      <c r="G56" t="s">
        <v>13</v>
      </c>
      <c r="H56">
        <f>MONTH(Table1[[#This Row],[Date]])</f>
        <v>2</v>
      </c>
      <c r="I56" s="2">
        <f>WEEKDAY(Table1[[#This Row],[Date]])</f>
        <v>6</v>
      </c>
      <c r="J56">
        <f>Table1[[#This Row],[Credit]]-Table1[[#This Row],[Debit]]</f>
        <v>-5</v>
      </c>
    </row>
    <row r="57" spans="1:10" x14ac:dyDescent="0.3">
      <c r="A57" s="1">
        <v>44597</v>
      </c>
      <c r="B57" t="s">
        <v>10</v>
      </c>
      <c r="C57">
        <v>5</v>
      </c>
      <c r="E57" t="s">
        <v>11</v>
      </c>
      <c r="F57" t="s">
        <v>12</v>
      </c>
      <c r="G57" t="s">
        <v>13</v>
      </c>
      <c r="H57">
        <f>MONTH(Table1[[#This Row],[Date]])</f>
        <v>2</v>
      </c>
      <c r="I57" s="2">
        <f>WEEKDAY(Table1[[#This Row],[Date]])</f>
        <v>7</v>
      </c>
      <c r="J57">
        <f>Table1[[#This Row],[Credit]]-Table1[[#This Row],[Debit]]</f>
        <v>-5</v>
      </c>
    </row>
    <row r="58" spans="1:10" x14ac:dyDescent="0.3">
      <c r="A58" s="1">
        <v>44597</v>
      </c>
      <c r="B58" t="s">
        <v>53</v>
      </c>
      <c r="C58">
        <v>205</v>
      </c>
      <c r="E58" t="s">
        <v>16</v>
      </c>
      <c r="F58" t="s">
        <v>14</v>
      </c>
      <c r="G58" t="s">
        <v>13</v>
      </c>
      <c r="H58">
        <f>MONTH(Table1[[#This Row],[Date]])</f>
        <v>2</v>
      </c>
      <c r="I58" s="2">
        <f>WEEKDAY(Table1[[#This Row],[Date]])</f>
        <v>7</v>
      </c>
      <c r="J58">
        <f>Table1[[#This Row],[Credit]]-Table1[[#This Row],[Debit]]</f>
        <v>-205</v>
      </c>
    </row>
    <row r="59" spans="1:10" x14ac:dyDescent="0.3">
      <c r="A59" s="1">
        <v>44600</v>
      </c>
      <c r="B59" t="s">
        <v>17</v>
      </c>
      <c r="C59">
        <v>51.1</v>
      </c>
      <c r="E59" t="s">
        <v>18</v>
      </c>
      <c r="F59" t="s">
        <v>14</v>
      </c>
      <c r="G59" t="s">
        <v>13</v>
      </c>
      <c r="H59">
        <f>MONTH(Table1[[#This Row],[Date]])</f>
        <v>2</v>
      </c>
      <c r="I59" s="2">
        <f>WEEKDAY(Table1[[#This Row],[Date]])</f>
        <v>3</v>
      </c>
      <c r="J59">
        <f>Table1[[#This Row],[Credit]]-Table1[[#This Row],[Debit]]</f>
        <v>-51.1</v>
      </c>
    </row>
    <row r="60" spans="1:10" x14ac:dyDescent="0.3">
      <c r="A60" s="1">
        <v>44600</v>
      </c>
      <c r="B60" t="s">
        <v>10</v>
      </c>
      <c r="C60">
        <v>5</v>
      </c>
      <c r="E60" t="s">
        <v>11</v>
      </c>
      <c r="F60" t="s">
        <v>12</v>
      </c>
      <c r="G60" t="s">
        <v>13</v>
      </c>
      <c r="H60">
        <f>MONTH(Table1[[#This Row],[Date]])</f>
        <v>2</v>
      </c>
      <c r="I60" s="2">
        <f>WEEKDAY(Table1[[#This Row],[Date]])</f>
        <v>3</v>
      </c>
      <c r="J60">
        <f>Table1[[#This Row],[Credit]]-Table1[[#This Row],[Debit]]</f>
        <v>-5</v>
      </c>
    </row>
    <row r="61" spans="1:10" x14ac:dyDescent="0.3">
      <c r="A61" s="1">
        <v>44601</v>
      </c>
      <c r="B61" t="s">
        <v>128</v>
      </c>
      <c r="C61">
        <v>550</v>
      </c>
      <c r="E61" t="s">
        <v>38</v>
      </c>
      <c r="F61" t="s">
        <v>39</v>
      </c>
      <c r="G61" t="s">
        <v>13</v>
      </c>
      <c r="H61">
        <f>MONTH(Table1[[#This Row],[Date]])</f>
        <v>2</v>
      </c>
      <c r="I61" s="2">
        <f>WEEKDAY(Table1[[#This Row],[Date]])</f>
        <v>4</v>
      </c>
      <c r="J61">
        <f>Table1[[#This Row],[Credit]]-Table1[[#This Row],[Debit]]</f>
        <v>-550</v>
      </c>
    </row>
    <row r="62" spans="1:10" x14ac:dyDescent="0.3">
      <c r="A62" s="1">
        <v>44601</v>
      </c>
      <c r="B62" t="s">
        <v>10</v>
      </c>
      <c r="C62">
        <v>5</v>
      </c>
      <c r="E62" t="s">
        <v>11</v>
      </c>
      <c r="F62" t="s">
        <v>12</v>
      </c>
      <c r="G62" t="s">
        <v>13</v>
      </c>
      <c r="H62">
        <f>MONTH(Table1[[#This Row],[Date]])</f>
        <v>2</v>
      </c>
      <c r="I62" s="2">
        <f>WEEKDAY(Table1[[#This Row],[Date]])</f>
        <v>4</v>
      </c>
      <c r="J62">
        <f>Table1[[#This Row],[Credit]]-Table1[[#This Row],[Debit]]</f>
        <v>-5</v>
      </c>
    </row>
    <row r="63" spans="1:10" x14ac:dyDescent="0.3">
      <c r="A63" s="1">
        <v>44602</v>
      </c>
      <c r="B63" t="s">
        <v>19</v>
      </c>
      <c r="C63">
        <v>78</v>
      </c>
      <c r="E63" t="s">
        <v>35</v>
      </c>
      <c r="F63" t="s">
        <v>15</v>
      </c>
      <c r="G63" t="s">
        <v>13</v>
      </c>
      <c r="H63">
        <f>MONTH(Table1[[#This Row],[Date]])</f>
        <v>2</v>
      </c>
      <c r="I63" s="2">
        <f>WEEKDAY(Table1[[#This Row],[Date]])</f>
        <v>5</v>
      </c>
      <c r="J63">
        <f>Table1[[#This Row],[Credit]]-Table1[[#This Row],[Debit]]</f>
        <v>-78</v>
      </c>
    </row>
    <row r="64" spans="1:10" x14ac:dyDescent="0.3">
      <c r="A64" s="1">
        <v>44602</v>
      </c>
      <c r="B64" t="s">
        <v>10</v>
      </c>
      <c r="C64">
        <v>5</v>
      </c>
      <c r="E64" t="s">
        <v>11</v>
      </c>
      <c r="F64" t="s">
        <v>12</v>
      </c>
      <c r="G64" t="s">
        <v>13</v>
      </c>
      <c r="H64">
        <f>MONTH(Table1[[#This Row],[Date]])</f>
        <v>2</v>
      </c>
      <c r="I64" s="2">
        <f>WEEKDAY(Table1[[#This Row],[Date]])</f>
        <v>5</v>
      </c>
      <c r="J64">
        <f>Table1[[#This Row],[Credit]]-Table1[[#This Row],[Debit]]</f>
        <v>-5</v>
      </c>
    </row>
    <row r="65" spans="1:10" x14ac:dyDescent="0.3">
      <c r="A65" s="1">
        <v>44603</v>
      </c>
      <c r="B65" t="s">
        <v>10</v>
      </c>
      <c r="C65">
        <v>5</v>
      </c>
      <c r="E65" t="s">
        <v>11</v>
      </c>
      <c r="F65" t="s">
        <v>12</v>
      </c>
      <c r="G65" t="s">
        <v>13</v>
      </c>
      <c r="H65">
        <f>MONTH(Table1[[#This Row],[Date]])</f>
        <v>2</v>
      </c>
      <c r="I65" s="2">
        <f>WEEKDAY(Table1[[#This Row],[Date]])</f>
        <v>6</v>
      </c>
      <c r="J65">
        <f>Table1[[#This Row],[Credit]]-Table1[[#This Row],[Debit]]</f>
        <v>-5</v>
      </c>
    </row>
    <row r="66" spans="1:10" x14ac:dyDescent="0.3">
      <c r="A66" s="1">
        <v>44604</v>
      </c>
      <c r="B66" t="s">
        <v>53</v>
      </c>
      <c r="C66">
        <v>135.9</v>
      </c>
      <c r="E66" t="s">
        <v>16</v>
      </c>
      <c r="F66" t="s">
        <v>14</v>
      </c>
      <c r="G66" t="s">
        <v>13</v>
      </c>
      <c r="H66">
        <f>MONTH(Table1[[#This Row],[Date]])</f>
        <v>2</v>
      </c>
      <c r="I66" s="2">
        <f>WEEKDAY(Table1[[#This Row],[Date]])</f>
        <v>7</v>
      </c>
      <c r="J66">
        <f>Table1[[#This Row],[Credit]]-Table1[[#This Row],[Debit]]</f>
        <v>-135.9</v>
      </c>
    </row>
    <row r="67" spans="1:10" x14ac:dyDescent="0.3">
      <c r="A67" s="1">
        <v>44604</v>
      </c>
      <c r="B67" t="s">
        <v>10</v>
      </c>
      <c r="C67">
        <v>5</v>
      </c>
      <c r="E67" t="s">
        <v>11</v>
      </c>
      <c r="F67" t="s">
        <v>12</v>
      </c>
      <c r="G67" t="s">
        <v>13</v>
      </c>
      <c r="H67">
        <f>MONTH(Table1[[#This Row],[Date]])</f>
        <v>2</v>
      </c>
      <c r="I67" s="2">
        <f>WEEKDAY(Table1[[#This Row],[Date]])</f>
        <v>7</v>
      </c>
      <c r="J67">
        <f>Table1[[#This Row],[Credit]]-Table1[[#This Row],[Debit]]</f>
        <v>-5</v>
      </c>
    </row>
    <row r="68" spans="1:10" x14ac:dyDescent="0.3">
      <c r="A68" s="1">
        <v>44605</v>
      </c>
      <c r="B68" t="s">
        <v>10</v>
      </c>
      <c r="C68">
        <v>5</v>
      </c>
      <c r="E68" t="s">
        <v>11</v>
      </c>
      <c r="F68" t="s">
        <v>12</v>
      </c>
      <c r="G68" t="s">
        <v>13</v>
      </c>
      <c r="H68">
        <f>MONTH(Table1[[#This Row],[Date]])</f>
        <v>2</v>
      </c>
      <c r="I68" s="2">
        <f>WEEKDAY(Table1[[#This Row],[Date]])</f>
        <v>1</v>
      </c>
      <c r="J68">
        <f>Table1[[#This Row],[Credit]]-Table1[[#This Row],[Debit]]</f>
        <v>-5</v>
      </c>
    </row>
    <row r="69" spans="1:10" x14ac:dyDescent="0.3">
      <c r="A69" s="1">
        <v>44605</v>
      </c>
      <c r="B69" t="s">
        <v>20</v>
      </c>
      <c r="C69">
        <v>40.9</v>
      </c>
      <c r="E69" t="s">
        <v>21</v>
      </c>
      <c r="F69" t="s">
        <v>22</v>
      </c>
      <c r="G69" t="s">
        <v>13</v>
      </c>
      <c r="H69">
        <f>MONTH(Table1[[#This Row],[Date]])</f>
        <v>2</v>
      </c>
      <c r="I69" s="2">
        <f>WEEKDAY(Table1[[#This Row],[Date]])</f>
        <v>1</v>
      </c>
      <c r="J69">
        <f>Table1[[#This Row],[Credit]]-Table1[[#This Row],[Debit]]</f>
        <v>-40.9</v>
      </c>
    </row>
    <row r="70" spans="1:10" x14ac:dyDescent="0.3">
      <c r="A70" s="1">
        <v>44605</v>
      </c>
      <c r="B70" t="s">
        <v>23</v>
      </c>
      <c r="C70">
        <v>99</v>
      </c>
      <c r="E70" t="s">
        <v>24</v>
      </c>
      <c r="F70" t="s">
        <v>22</v>
      </c>
      <c r="G70" t="s">
        <v>13</v>
      </c>
      <c r="H70">
        <f>MONTH(Table1[[#This Row],[Date]])</f>
        <v>2</v>
      </c>
      <c r="I70" s="2">
        <f>WEEKDAY(Table1[[#This Row],[Date]])</f>
        <v>1</v>
      </c>
      <c r="J70">
        <f>Table1[[#This Row],[Credit]]-Table1[[#This Row],[Debit]]</f>
        <v>-99</v>
      </c>
    </row>
    <row r="71" spans="1:10" x14ac:dyDescent="0.3">
      <c r="A71" s="1">
        <v>44605</v>
      </c>
      <c r="B71" t="s">
        <v>25</v>
      </c>
      <c r="C71">
        <v>53</v>
      </c>
      <c r="E71" t="s">
        <v>26</v>
      </c>
      <c r="F71" t="s">
        <v>12</v>
      </c>
      <c r="G71" t="s">
        <v>13</v>
      </c>
      <c r="H71">
        <f>MONTH(Table1[[#This Row],[Date]])</f>
        <v>2</v>
      </c>
      <c r="I71" s="2">
        <f>WEEKDAY(Table1[[#This Row],[Date]])</f>
        <v>1</v>
      </c>
      <c r="J71">
        <f>Table1[[#This Row],[Credit]]-Table1[[#This Row],[Debit]]</f>
        <v>-53</v>
      </c>
    </row>
    <row r="72" spans="1:10" x14ac:dyDescent="0.3">
      <c r="A72" s="1">
        <v>44606</v>
      </c>
      <c r="B72" t="s">
        <v>48</v>
      </c>
      <c r="C72">
        <v>28.9</v>
      </c>
      <c r="E72" t="s">
        <v>27</v>
      </c>
      <c r="F72" t="s">
        <v>15</v>
      </c>
      <c r="G72" t="s">
        <v>13</v>
      </c>
      <c r="H72">
        <f>MONTH(Table1[[#This Row],[Date]])</f>
        <v>2</v>
      </c>
      <c r="I72" s="2">
        <f>WEEKDAY(Table1[[#This Row],[Date]])</f>
        <v>2</v>
      </c>
      <c r="J72">
        <f>Table1[[#This Row],[Credit]]-Table1[[#This Row],[Debit]]</f>
        <v>-28.9</v>
      </c>
    </row>
    <row r="73" spans="1:10" x14ac:dyDescent="0.3">
      <c r="A73" s="1">
        <v>44607</v>
      </c>
      <c r="B73" t="s">
        <v>9</v>
      </c>
      <c r="D73">
        <v>800</v>
      </c>
      <c r="E73" t="s">
        <v>57</v>
      </c>
      <c r="F73" t="s">
        <v>28</v>
      </c>
      <c r="G73" t="s">
        <v>9</v>
      </c>
      <c r="H73">
        <f>MONTH(Table1[[#This Row],[Date]])</f>
        <v>2</v>
      </c>
      <c r="I73" s="2">
        <f>WEEKDAY(Table1[[#This Row],[Date]])</f>
        <v>3</v>
      </c>
      <c r="J73">
        <f>Table1[[#This Row],[Credit]]-Table1[[#This Row],[Debit]]</f>
        <v>800</v>
      </c>
    </row>
    <row r="74" spans="1:10" x14ac:dyDescent="0.3">
      <c r="A74" s="1">
        <v>44607</v>
      </c>
      <c r="B74" t="s">
        <v>10</v>
      </c>
      <c r="C74">
        <v>5</v>
      </c>
      <c r="E74" t="s">
        <v>11</v>
      </c>
      <c r="F74" t="s">
        <v>12</v>
      </c>
      <c r="G74" t="s">
        <v>13</v>
      </c>
      <c r="H74">
        <f>MONTH(Table1[[#This Row],[Date]])</f>
        <v>2</v>
      </c>
      <c r="I74" s="2">
        <f>WEEKDAY(Table1[[#This Row],[Date]])</f>
        <v>3</v>
      </c>
      <c r="J74">
        <f>Table1[[#This Row],[Credit]]-Table1[[#This Row],[Debit]]</f>
        <v>-5</v>
      </c>
    </row>
    <row r="75" spans="1:10" x14ac:dyDescent="0.3">
      <c r="A75" s="1">
        <v>44608</v>
      </c>
      <c r="B75" t="s">
        <v>10</v>
      </c>
      <c r="C75">
        <v>5</v>
      </c>
      <c r="E75" t="s">
        <v>11</v>
      </c>
      <c r="F75" t="s">
        <v>12</v>
      </c>
      <c r="G75" t="s">
        <v>13</v>
      </c>
      <c r="H75">
        <f>MONTH(Table1[[#This Row],[Date]])</f>
        <v>2</v>
      </c>
      <c r="I75" s="2">
        <f>WEEKDAY(Table1[[#This Row],[Date]])</f>
        <v>4</v>
      </c>
      <c r="J75">
        <f>Table1[[#This Row],[Credit]]-Table1[[#This Row],[Debit]]</f>
        <v>-5</v>
      </c>
    </row>
    <row r="76" spans="1:10" x14ac:dyDescent="0.3">
      <c r="A76" s="1">
        <v>44608</v>
      </c>
      <c r="B76" t="s">
        <v>29</v>
      </c>
      <c r="C76">
        <v>40</v>
      </c>
      <c r="E76" t="s">
        <v>29</v>
      </c>
      <c r="F76" t="s">
        <v>14</v>
      </c>
      <c r="G76" t="s">
        <v>13</v>
      </c>
      <c r="H76">
        <f>MONTH(Table1[[#This Row],[Date]])</f>
        <v>2</v>
      </c>
      <c r="I76" s="2">
        <f>WEEKDAY(Table1[[#This Row],[Date]])</f>
        <v>4</v>
      </c>
      <c r="J76">
        <f>Table1[[#This Row],[Credit]]-Table1[[#This Row],[Debit]]</f>
        <v>-40</v>
      </c>
    </row>
    <row r="77" spans="1:10" x14ac:dyDescent="0.3">
      <c r="A77" s="1">
        <v>44609</v>
      </c>
      <c r="B77" t="s">
        <v>50</v>
      </c>
      <c r="C77">
        <v>45.9</v>
      </c>
      <c r="E77" t="s">
        <v>30</v>
      </c>
      <c r="F77" t="s">
        <v>22</v>
      </c>
      <c r="G77" t="s">
        <v>13</v>
      </c>
      <c r="H77">
        <f>MONTH(Table1[[#This Row],[Date]])</f>
        <v>2</v>
      </c>
      <c r="I77" s="2">
        <f>WEEKDAY(Table1[[#This Row],[Date]])</f>
        <v>5</v>
      </c>
      <c r="J77">
        <f>Table1[[#This Row],[Credit]]-Table1[[#This Row],[Debit]]</f>
        <v>-45.9</v>
      </c>
    </row>
    <row r="78" spans="1:10" x14ac:dyDescent="0.3">
      <c r="A78" s="1">
        <v>44609</v>
      </c>
      <c r="B78" t="s">
        <v>31</v>
      </c>
      <c r="C78">
        <v>35</v>
      </c>
      <c r="E78" t="s">
        <v>21</v>
      </c>
      <c r="F78" t="s">
        <v>22</v>
      </c>
      <c r="G78" t="s">
        <v>13</v>
      </c>
      <c r="H78">
        <f>MONTH(Table1[[#This Row],[Date]])</f>
        <v>2</v>
      </c>
      <c r="I78" s="2">
        <f>WEEKDAY(Table1[[#This Row],[Date]])</f>
        <v>5</v>
      </c>
      <c r="J78">
        <f>Table1[[#This Row],[Credit]]-Table1[[#This Row],[Debit]]</f>
        <v>-35</v>
      </c>
    </row>
    <row r="79" spans="1:10" x14ac:dyDescent="0.3">
      <c r="A79" s="1">
        <v>44609</v>
      </c>
      <c r="B79" t="s">
        <v>10</v>
      </c>
      <c r="C79">
        <v>5</v>
      </c>
      <c r="E79" t="s">
        <v>11</v>
      </c>
      <c r="F79" t="s">
        <v>12</v>
      </c>
      <c r="G79" t="s">
        <v>13</v>
      </c>
      <c r="H79">
        <f>MONTH(Table1[[#This Row],[Date]])</f>
        <v>2</v>
      </c>
      <c r="I79" s="2">
        <f>WEEKDAY(Table1[[#This Row],[Date]])</f>
        <v>5</v>
      </c>
      <c r="J79">
        <f>Table1[[#This Row],[Credit]]-Table1[[#This Row],[Debit]]</f>
        <v>-5</v>
      </c>
    </row>
    <row r="80" spans="1:10" x14ac:dyDescent="0.3">
      <c r="A80" s="1">
        <v>44610</v>
      </c>
      <c r="B80" t="s">
        <v>10</v>
      </c>
      <c r="C80">
        <v>5</v>
      </c>
      <c r="E80" t="s">
        <v>11</v>
      </c>
      <c r="F80" t="s">
        <v>12</v>
      </c>
      <c r="G80" t="s">
        <v>13</v>
      </c>
      <c r="H80">
        <f>MONTH(Table1[[#This Row],[Date]])</f>
        <v>2</v>
      </c>
      <c r="I80" s="2">
        <f>WEEKDAY(Table1[[#This Row],[Date]])</f>
        <v>6</v>
      </c>
      <c r="J80">
        <f>Table1[[#This Row],[Credit]]-Table1[[#This Row],[Debit]]</f>
        <v>-5</v>
      </c>
    </row>
    <row r="81" spans="1:10" x14ac:dyDescent="0.3">
      <c r="A81" s="1">
        <v>44611</v>
      </c>
      <c r="B81" t="s">
        <v>10</v>
      </c>
      <c r="C81">
        <v>5</v>
      </c>
      <c r="E81" t="s">
        <v>11</v>
      </c>
      <c r="F81" t="s">
        <v>12</v>
      </c>
      <c r="G81" t="s">
        <v>13</v>
      </c>
      <c r="H81">
        <f>MONTH(Table1[[#This Row],[Date]])</f>
        <v>2</v>
      </c>
      <c r="I81" s="2">
        <f>WEEKDAY(Table1[[#This Row],[Date]])</f>
        <v>7</v>
      </c>
      <c r="J81">
        <f>Table1[[#This Row],[Credit]]-Table1[[#This Row],[Debit]]</f>
        <v>-5</v>
      </c>
    </row>
    <row r="82" spans="1:10" x14ac:dyDescent="0.3">
      <c r="A82" s="1">
        <v>44611</v>
      </c>
      <c r="B82" t="s">
        <v>53</v>
      </c>
      <c r="C82">
        <v>171</v>
      </c>
      <c r="E82" t="s">
        <v>16</v>
      </c>
      <c r="F82" t="s">
        <v>14</v>
      </c>
      <c r="G82" t="s">
        <v>13</v>
      </c>
      <c r="H82">
        <f>MONTH(Table1[[#This Row],[Date]])</f>
        <v>2</v>
      </c>
      <c r="I82" s="2">
        <f>WEEKDAY(Table1[[#This Row],[Date]])</f>
        <v>7</v>
      </c>
      <c r="J82">
        <f>Table1[[#This Row],[Credit]]-Table1[[#This Row],[Debit]]</f>
        <v>-171</v>
      </c>
    </row>
    <row r="83" spans="1:10" x14ac:dyDescent="0.3">
      <c r="A83" s="1">
        <v>44612</v>
      </c>
      <c r="B83" t="s">
        <v>60</v>
      </c>
      <c r="C83">
        <v>37.9</v>
      </c>
      <c r="E83" t="s">
        <v>26</v>
      </c>
      <c r="F83" t="s">
        <v>12</v>
      </c>
      <c r="G83" t="s">
        <v>13</v>
      </c>
      <c r="H83">
        <f>MONTH(Table1[[#This Row],[Date]])</f>
        <v>2</v>
      </c>
      <c r="I83" s="2">
        <f>WEEKDAY(Table1[[#This Row],[Date]])</f>
        <v>1</v>
      </c>
      <c r="J83">
        <f>Table1[[#This Row],[Credit]]-Table1[[#This Row],[Debit]]</f>
        <v>-37.9</v>
      </c>
    </row>
    <row r="84" spans="1:10" x14ac:dyDescent="0.3">
      <c r="A84" s="1">
        <v>44613</v>
      </c>
      <c r="B84" t="s">
        <v>59</v>
      </c>
      <c r="C84">
        <v>12.9</v>
      </c>
      <c r="E84" t="s">
        <v>26</v>
      </c>
      <c r="F84" t="s">
        <v>12</v>
      </c>
      <c r="G84" t="s">
        <v>13</v>
      </c>
      <c r="H84">
        <f>MONTH(Table1[[#This Row],[Date]])</f>
        <v>2</v>
      </c>
      <c r="I84" s="2">
        <f>WEEKDAY(Table1[[#This Row],[Date]])</f>
        <v>2</v>
      </c>
      <c r="J84">
        <f>Table1[[#This Row],[Credit]]-Table1[[#This Row],[Debit]]</f>
        <v>-12.9</v>
      </c>
    </row>
    <row r="85" spans="1:10" x14ac:dyDescent="0.3">
      <c r="A85" s="1">
        <v>44614</v>
      </c>
      <c r="B85" t="s">
        <v>61</v>
      </c>
      <c r="C85">
        <v>55</v>
      </c>
      <c r="E85" t="s">
        <v>33</v>
      </c>
      <c r="F85" t="s">
        <v>34</v>
      </c>
      <c r="G85" t="s">
        <v>13</v>
      </c>
      <c r="H85">
        <f>MONTH(Table1[[#This Row],[Date]])</f>
        <v>2</v>
      </c>
      <c r="I85" s="2">
        <f>WEEKDAY(Table1[[#This Row],[Date]])</f>
        <v>3</v>
      </c>
      <c r="J85">
        <f>Table1[[#This Row],[Credit]]-Table1[[#This Row],[Debit]]</f>
        <v>-55</v>
      </c>
    </row>
    <row r="86" spans="1:10" x14ac:dyDescent="0.3">
      <c r="A86" s="1">
        <v>44614</v>
      </c>
      <c r="B86" t="s">
        <v>19</v>
      </c>
      <c r="C86">
        <v>64.099999999999994</v>
      </c>
      <c r="E86" t="s">
        <v>35</v>
      </c>
      <c r="F86" t="s">
        <v>15</v>
      </c>
      <c r="G86" t="s">
        <v>13</v>
      </c>
      <c r="H86">
        <f>MONTH(Table1[[#This Row],[Date]])</f>
        <v>2</v>
      </c>
      <c r="I86" s="2">
        <f>WEEKDAY(Table1[[#This Row],[Date]])</f>
        <v>3</v>
      </c>
      <c r="J86">
        <f>Table1[[#This Row],[Credit]]-Table1[[#This Row],[Debit]]</f>
        <v>-64.099999999999994</v>
      </c>
    </row>
    <row r="87" spans="1:10" x14ac:dyDescent="0.3">
      <c r="A87" s="1">
        <v>44614</v>
      </c>
      <c r="B87" t="s">
        <v>10</v>
      </c>
      <c r="C87">
        <v>5</v>
      </c>
      <c r="E87" t="s">
        <v>11</v>
      </c>
      <c r="F87" t="s">
        <v>12</v>
      </c>
      <c r="G87" t="s">
        <v>13</v>
      </c>
      <c r="H87">
        <f>MONTH(Table1[[#This Row],[Date]])</f>
        <v>2</v>
      </c>
      <c r="I87" s="2">
        <f>WEEKDAY(Table1[[#This Row],[Date]])</f>
        <v>3</v>
      </c>
      <c r="J87">
        <f>Table1[[#This Row],[Credit]]-Table1[[#This Row],[Debit]]</f>
        <v>-5</v>
      </c>
    </row>
    <row r="88" spans="1:10" x14ac:dyDescent="0.3">
      <c r="A88" s="1">
        <v>44615</v>
      </c>
      <c r="B88" t="s">
        <v>10</v>
      </c>
      <c r="C88">
        <v>5</v>
      </c>
      <c r="E88" t="s">
        <v>11</v>
      </c>
      <c r="F88" t="s">
        <v>12</v>
      </c>
      <c r="G88" t="s">
        <v>13</v>
      </c>
      <c r="H88">
        <f>MONTH(Table1[[#This Row],[Date]])</f>
        <v>2</v>
      </c>
      <c r="I88" s="2">
        <f>WEEKDAY(Table1[[#This Row],[Date]])</f>
        <v>4</v>
      </c>
      <c r="J88">
        <f>Table1[[#This Row],[Credit]]-Table1[[#This Row],[Debit]]</f>
        <v>-5</v>
      </c>
    </row>
    <row r="89" spans="1:10" x14ac:dyDescent="0.3">
      <c r="A89" s="1">
        <v>44616</v>
      </c>
      <c r="B89" t="s">
        <v>10</v>
      </c>
      <c r="C89">
        <v>5</v>
      </c>
      <c r="E89" t="s">
        <v>11</v>
      </c>
      <c r="F89" t="s">
        <v>12</v>
      </c>
      <c r="G89" t="s">
        <v>13</v>
      </c>
      <c r="H89">
        <f>MONTH(Table1[[#This Row],[Date]])</f>
        <v>2</v>
      </c>
      <c r="I89" s="2">
        <f>WEEKDAY(Table1[[#This Row],[Date]])</f>
        <v>5</v>
      </c>
      <c r="J89">
        <f>Table1[[#This Row],[Credit]]-Table1[[#This Row],[Debit]]</f>
        <v>-5</v>
      </c>
    </row>
    <row r="90" spans="1:10" x14ac:dyDescent="0.3">
      <c r="A90" s="1">
        <v>44617</v>
      </c>
      <c r="B90" t="s">
        <v>10</v>
      </c>
      <c r="C90">
        <v>5</v>
      </c>
      <c r="E90" t="s">
        <v>11</v>
      </c>
      <c r="F90" t="s">
        <v>12</v>
      </c>
      <c r="G90" t="s">
        <v>13</v>
      </c>
      <c r="H90">
        <f>MONTH(Table1[[#This Row],[Date]])</f>
        <v>2</v>
      </c>
      <c r="I90" s="2">
        <f>WEEKDAY(Table1[[#This Row],[Date]])</f>
        <v>6</v>
      </c>
      <c r="J90">
        <f>Table1[[#This Row],[Credit]]-Table1[[#This Row],[Debit]]</f>
        <v>-5</v>
      </c>
    </row>
    <row r="91" spans="1:10" x14ac:dyDescent="0.3">
      <c r="A91" s="1">
        <v>44618</v>
      </c>
      <c r="B91" t="s">
        <v>10</v>
      </c>
      <c r="C91">
        <v>5</v>
      </c>
      <c r="E91" t="s">
        <v>11</v>
      </c>
      <c r="F91" t="s">
        <v>12</v>
      </c>
      <c r="G91" t="s">
        <v>13</v>
      </c>
      <c r="H91">
        <f>MONTH(Table1[[#This Row],[Date]])</f>
        <v>2</v>
      </c>
      <c r="I91" s="2">
        <f>WEEKDAY(Table1[[#This Row],[Date]])</f>
        <v>7</v>
      </c>
      <c r="J91">
        <f>Table1[[#This Row],[Credit]]-Table1[[#This Row],[Debit]]</f>
        <v>-5</v>
      </c>
    </row>
    <row r="92" spans="1:10" x14ac:dyDescent="0.3">
      <c r="A92" s="1">
        <v>44618</v>
      </c>
      <c r="B92" t="s">
        <v>73</v>
      </c>
      <c r="C92">
        <v>162.9</v>
      </c>
      <c r="E92" t="s">
        <v>58</v>
      </c>
      <c r="F92" t="s">
        <v>90</v>
      </c>
      <c r="G92" t="s">
        <v>13</v>
      </c>
      <c r="H92">
        <f>MONTH(Table1[[#This Row],[Date]])</f>
        <v>2</v>
      </c>
      <c r="I92" s="2">
        <f>WEEKDAY(Table1[[#This Row],[Date]])</f>
        <v>7</v>
      </c>
      <c r="J92">
        <f>Table1[[#This Row],[Credit]]-Table1[[#This Row],[Debit]]</f>
        <v>-162.9</v>
      </c>
    </row>
    <row r="93" spans="1:10" x14ac:dyDescent="0.3">
      <c r="A93" s="1">
        <v>44619</v>
      </c>
      <c r="B93" t="s">
        <v>56</v>
      </c>
      <c r="C93">
        <v>125.9</v>
      </c>
      <c r="E93" t="s">
        <v>24</v>
      </c>
      <c r="F93" t="s">
        <v>22</v>
      </c>
      <c r="G93" t="s">
        <v>13</v>
      </c>
      <c r="H93">
        <f>MONTH(Table1[[#This Row],[Date]])</f>
        <v>2</v>
      </c>
      <c r="I93" s="2">
        <f>WEEKDAY(Table1[[#This Row],[Date]])</f>
        <v>1</v>
      </c>
      <c r="J93">
        <f>Table1[[#This Row],[Credit]]-Table1[[#This Row],[Debit]]</f>
        <v>-125.9</v>
      </c>
    </row>
    <row r="94" spans="1:10" x14ac:dyDescent="0.3">
      <c r="A94" s="1">
        <v>44619</v>
      </c>
      <c r="B94" t="s">
        <v>62</v>
      </c>
      <c r="C94">
        <v>137</v>
      </c>
      <c r="E94" t="s">
        <v>24</v>
      </c>
      <c r="F94" t="s">
        <v>22</v>
      </c>
      <c r="G94" t="s">
        <v>13</v>
      </c>
      <c r="H94">
        <f>MONTH(Table1[[#This Row],[Date]])</f>
        <v>2</v>
      </c>
      <c r="I94" s="2">
        <f>WEEKDAY(Table1[[#This Row],[Date]])</f>
        <v>1</v>
      </c>
      <c r="J94">
        <f>Table1[[#This Row],[Credit]]-Table1[[#This Row],[Debit]]</f>
        <v>-137</v>
      </c>
    </row>
    <row r="95" spans="1:10" x14ac:dyDescent="0.3">
      <c r="A95" s="1">
        <v>44620</v>
      </c>
      <c r="B95" t="s">
        <v>63</v>
      </c>
      <c r="C95">
        <v>146.1</v>
      </c>
      <c r="E95" t="s">
        <v>24</v>
      </c>
      <c r="F95" t="s">
        <v>22</v>
      </c>
      <c r="G95" t="s">
        <v>13</v>
      </c>
      <c r="H95">
        <f>MONTH(Table1[[#This Row],[Date]])</f>
        <v>2</v>
      </c>
      <c r="I95" s="2">
        <f>WEEKDAY(Table1[[#This Row],[Date]])</f>
        <v>2</v>
      </c>
      <c r="J95">
        <f>Table1[[#This Row],[Credit]]-Table1[[#This Row],[Debit]]</f>
        <v>-146.1</v>
      </c>
    </row>
    <row r="96" spans="1:10" x14ac:dyDescent="0.3">
      <c r="A96" s="1">
        <v>44620</v>
      </c>
      <c r="B96" t="s">
        <v>48</v>
      </c>
      <c r="C96">
        <v>24.1</v>
      </c>
      <c r="E96" t="s">
        <v>27</v>
      </c>
      <c r="F96" t="s">
        <v>15</v>
      </c>
      <c r="G96" t="s">
        <v>13</v>
      </c>
      <c r="H96">
        <f>MONTH(Table1[[#This Row],[Date]])</f>
        <v>2</v>
      </c>
      <c r="I96" s="2">
        <f>WEEKDAY(Table1[[#This Row],[Date]])</f>
        <v>2</v>
      </c>
      <c r="J96">
        <f>Table1[[#This Row],[Credit]]-Table1[[#This Row],[Debit]]</f>
        <v>-24.1</v>
      </c>
    </row>
    <row r="97" spans="1:10" x14ac:dyDescent="0.3">
      <c r="A97" s="1">
        <v>44621</v>
      </c>
      <c r="B97" t="s">
        <v>7</v>
      </c>
      <c r="D97">
        <v>5000</v>
      </c>
      <c r="E97" t="s">
        <v>64</v>
      </c>
      <c r="F97" t="s">
        <v>8</v>
      </c>
      <c r="G97" t="s">
        <v>9</v>
      </c>
      <c r="H97">
        <f>MONTH(Table1[[#This Row],[Date]])</f>
        <v>3</v>
      </c>
      <c r="I97" s="2">
        <f>WEEKDAY(Table1[[#This Row],[Date]])</f>
        <v>3</v>
      </c>
      <c r="J97">
        <f>Table1[[#This Row],[Credit]]-Table1[[#This Row],[Debit]]</f>
        <v>5000</v>
      </c>
    </row>
    <row r="98" spans="1:10" x14ac:dyDescent="0.3">
      <c r="A98" s="1">
        <v>44621</v>
      </c>
      <c r="B98" t="s">
        <v>10</v>
      </c>
      <c r="C98">
        <v>5</v>
      </c>
      <c r="E98" t="s">
        <v>11</v>
      </c>
      <c r="F98" t="s">
        <v>12</v>
      </c>
      <c r="G98" t="s">
        <v>13</v>
      </c>
      <c r="H98">
        <f>MONTH(Table1[[#This Row],[Date]])</f>
        <v>3</v>
      </c>
      <c r="I98" s="2">
        <f>WEEKDAY(Table1[[#This Row],[Date]])</f>
        <v>3</v>
      </c>
      <c r="J98">
        <f>Table1[[#This Row],[Credit]]-Table1[[#This Row],[Debit]]</f>
        <v>-5</v>
      </c>
    </row>
    <row r="99" spans="1:10" x14ac:dyDescent="0.3">
      <c r="A99" s="1">
        <v>44622</v>
      </c>
      <c r="B99" t="s">
        <v>53</v>
      </c>
      <c r="C99">
        <v>750</v>
      </c>
      <c r="E99" t="s">
        <v>16</v>
      </c>
      <c r="F99" t="s">
        <v>14</v>
      </c>
      <c r="G99" t="s">
        <v>13</v>
      </c>
      <c r="H99">
        <f>MONTH(Table1[[#This Row],[Date]])</f>
        <v>3</v>
      </c>
      <c r="I99" s="2">
        <f>WEEKDAY(Table1[[#This Row],[Date]])</f>
        <v>4</v>
      </c>
      <c r="J99">
        <f>Table1[[#This Row],[Credit]]-Table1[[#This Row],[Debit]]</f>
        <v>-750</v>
      </c>
    </row>
    <row r="100" spans="1:10" x14ac:dyDescent="0.3">
      <c r="A100" s="1">
        <v>44622</v>
      </c>
      <c r="B100" t="s">
        <v>72</v>
      </c>
      <c r="C100">
        <v>150</v>
      </c>
      <c r="E100" t="s">
        <v>71</v>
      </c>
      <c r="F100" t="s">
        <v>90</v>
      </c>
      <c r="G100" t="s">
        <v>13</v>
      </c>
      <c r="H100">
        <f>MONTH(Table1[[#This Row],[Date]])</f>
        <v>3</v>
      </c>
      <c r="I100" s="2">
        <f>WEEKDAY(Table1[[#This Row],[Date]])</f>
        <v>4</v>
      </c>
      <c r="J100">
        <f>Table1[[#This Row],[Credit]]-Table1[[#This Row],[Debit]]</f>
        <v>-150</v>
      </c>
    </row>
    <row r="101" spans="1:10" x14ac:dyDescent="0.3">
      <c r="A101" s="1">
        <v>44622</v>
      </c>
      <c r="B101" t="s">
        <v>10</v>
      </c>
      <c r="C101">
        <v>5</v>
      </c>
      <c r="E101" t="s">
        <v>11</v>
      </c>
      <c r="F101" t="s">
        <v>12</v>
      </c>
      <c r="G101" t="s">
        <v>13</v>
      </c>
      <c r="H101">
        <f>MONTH(Table1[[#This Row],[Date]])</f>
        <v>3</v>
      </c>
      <c r="I101" s="2">
        <f>WEEKDAY(Table1[[#This Row],[Date]])</f>
        <v>4</v>
      </c>
      <c r="J101">
        <f>Table1[[#This Row],[Credit]]-Table1[[#This Row],[Debit]]</f>
        <v>-5</v>
      </c>
    </row>
    <row r="102" spans="1:10" x14ac:dyDescent="0.3">
      <c r="A102" s="1">
        <v>44623</v>
      </c>
      <c r="B102" t="s">
        <v>10</v>
      </c>
      <c r="C102">
        <v>5</v>
      </c>
      <c r="E102" t="s">
        <v>11</v>
      </c>
      <c r="F102" t="s">
        <v>12</v>
      </c>
      <c r="G102" t="s">
        <v>13</v>
      </c>
      <c r="H102">
        <f>MONTH(Table1[[#This Row],[Date]])</f>
        <v>3</v>
      </c>
      <c r="I102" s="2">
        <f>WEEKDAY(Table1[[#This Row],[Date]])</f>
        <v>5</v>
      </c>
      <c r="J102">
        <f>Table1[[#This Row],[Credit]]-Table1[[#This Row],[Debit]]</f>
        <v>-5</v>
      </c>
    </row>
    <row r="103" spans="1:10" x14ac:dyDescent="0.3">
      <c r="A103" s="1">
        <v>44624</v>
      </c>
      <c r="B103" t="s">
        <v>10</v>
      </c>
      <c r="C103">
        <v>5</v>
      </c>
      <c r="E103" t="s">
        <v>11</v>
      </c>
      <c r="F103" t="s">
        <v>12</v>
      </c>
      <c r="G103" t="s">
        <v>13</v>
      </c>
      <c r="H103">
        <f>MONTH(Table1[[#This Row],[Date]])</f>
        <v>3</v>
      </c>
      <c r="I103" s="2">
        <f>WEEKDAY(Table1[[#This Row],[Date]])</f>
        <v>6</v>
      </c>
      <c r="J103">
        <f>Table1[[#This Row],[Credit]]-Table1[[#This Row],[Debit]]</f>
        <v>-5</v>
      </c>
    </row>
    <row r="104" spans="1:10" x14ac:dyDescent="0.3">
      <c r="A104" s="1">
        <v>44625</v>
      </c>
      <c r="B104" t="s">
        <v>10</v>
      </c>
      <c r="C104">
        <v>5</v>
      </c>
      <c r="E104" t="s">
        <v>11</v>
      </c>
      <c r="F104" t="s">
        <v>12</v>
      </c>
      <c r="G104" t="s">
        <v>13</v>
      </c>
      <c r="H104">
        <f>MONTH(Table1[[#This Row],[Date]])</f>
        <v>3</v>
      </c>
      <c r="I104" s="2">
        <f>WEEKDAY(Table1[[#This Row],[Date]])</f>
        <v>7</v>
      </c>
      <c r="J104">
        <f>Table1[[#This Row],[Credit]]-Table1[[#This Row],[Debit]]</f>
        <v>-5</v>
      </c>
    </row>
    <row r="105" spans="1:10" x14ac:dyDescent="0.3">
      <c r="A105" s="1">
        <v>44625</v>
      </c>
      <c r="B105" t="s">
        <v>53</v>
      </c>
      <c r="C105">
        <v>149</v>
      </c>
      <c r="E105" t="s">
        <v>16</v>
      </c>
      <c r="F105" t="s">
        <v>14</v>
      </c>
      <c r="G105" t="s">
        <v>13</v>
      </c>
      <c r="H105">
        <f>MONTH(Table1[[#This Row],[Date]])</f>
        <v>3</v>
      </c>
      <c r="I105" s="2">
        <f>WEEKDAY(Table1[[#This Row],[Date]])</f>
        <v>7</v>
      </c>
      <c r="J105">
        <f>Table1[[#This Row],[Credit]]-Table1[[#This Row],[Debit]]</f>
        <v>-149</v>
      </c>
    </row>
    <row r="106" spans="1:10" x14ac:dyDescent="0.3">
      <c r="A106" s="1">
        <v>44628</v>
      </c>
      <c r="B106" t="s">
        <v>17</v>
      </c>
      <c r="C106">
        <v>52.1</v>
      </c>
      <c r="E106" t="s">
        <v>18</v>
      </c>
      <c r="F106" t="s">
        <v>14</v>
      </c>
      <c r="G106" t="s">
        <v>13</v>
      </c>
      <c r="H106">
        <f>MONTH(Table1[[#This Row],[Date]])</f>
        <v>3</v>
      </c>
      <c r="I106" s="2">
        <f>WEEKDAY(Table1[[#This Row],[Date]])</f>
        <v>3</v>
      </c>
      <c r="J106">
        <f>Table1[[#This Row],[Credit]]-Table1[[#This Row],[Debit]]</f>
        <v>-52.1</v>
      </c>
    </row>
    <row r="107" spans="1:10" x14ac:dyDescent="0.3">
      <c r="A107" s="1">
        <v>44628</v>
      </c>
      <c r="B107" t="s">
        <v>10</v>
      </c>
      <c r="C107">
        <v>5</v>
      </c>
      <c r="E107" t="s">
        <v>11</v>
      </c>
      <c r="F107" t="s">
        <v>12</v>
      </c>
      <c r="G107" t="s">
        <v>13</v>
      </c>
      <c r="H107">
        <f>MONTH(Table1[[#This Row],[Date]])</f>
        <v>3</v>
      </c>
      <c r="I107" s="2">
        <f>WEEKDAY(Table1[[#This Row],[Date]])</f>
        <v>3</v>
      </c>
      <c r="J107">
        <f>Table1[[#This Row],[Credit]]-Table1[[#This Row],[Debit]]</f>
        <v>-5</v>
      </c>
    </row>
    <row r="108" spans="1:10" x14ac:dyDescent="0.3">
      <c r="A108" s="1">
        <v>44629</v>
      </c>
      <c r="B108" t="s">
        <v>10</v>
      </c>
      <c r="C108">
        <v>5</v>
      </c>
      <c r="E108" t="s">
        <v>11</v>
      </c>
      <c r="F108" t="s">
        <v>12</v>
      </c>
      <c r="G108" t="s">
        <v>13</v>
      </c>
      <c r="H108">
        <f>MONTH(Table1[[#This Row],[Date]])</f>
        <v>3</v>
      </c>
      <c r="I108" s="2">
        <f>WEEKDAY(Table1[[#This Row],[Date]])</f>
        <v>4</v>
      </c>
      <c r="J108">
        <f>Table1[[#This Row],[Credit]]-Table1[[#This Row],[Debit]]</f>
        <v>-5</v>
      </c>
    </row>
    <row r="109" spans="1:10" x14ac:dyDescent="0.3">
      <c r="A109" s="1">
        <v>44630</v>
      </c>
      <c r="B109" t="s">
        <v>19</v>
      </c>
      <c r="C109">
        <v>78.900000000000006</v>
      </c>
      <c r="E109" t="s">
        <v>35</v>
      </c>
      <c r="F109" t="s">
        <v>15</v>
      </c>
      <c r="G109" t="s">
        <v>13</v>
      </c>
      <c r="H109">
        <f>MONTH(Table1[[#This Row],[Date]])</f>
        <v>3</v>
      </c>
      <c r="I109" s="2">
        <f>WEEKDAY(Table1[[#This Row],[Date]])</f>
        <v>5</v>
      </c>
      <c r="J109">
        <f>Table1[[#This Row],[Credit]]-Table1[[#This Row],[Debit]]</f>
        <v>-78.900000000000006</v>
      </c>
    </row>
    <row r="110" spans="1:10" x14ac:dyDescent="0.3">
      <c r="A110" s="1">
        <v>44630</v>
      </c>
      <c r="B110" t="s">
        <v>10</v>
      </c>
      <c r="C110">
        <v>5</v>
      </c>
      <c r="E110" t="s">
        <v>11</v>
      </c>
      <c r="F110" t="s">
        <v>12</v>
      </c>
      <c r="G110" t="s">
        <v>13</v>
      </c>
      <c r="H110">
        <f>MONTH(Table1[[#This Row],[Date]])</f>
        <v>3</v>
      </c>
      <c r="I110" s="2">
        <f>WEEKDAY(Table1[[#This Row],[Date]])</f>
        <v>5</v>
      </c>
      <c r="J110">
        <f>Table1[[#This Row],[Credit]]-Table1[[#This Row],[Debit]]</f>
        <v>-5</v>
      </c>
    </row>
    <row r="111" spans="1:10" x14ac:dyDescent="0.3">
      <c r="A111" s="1">
        <v>44631</v>
      </c>
      <c r="B111" t="s">
        <v>10</v>
      </c>
      <c r="C111">
        <v>5</v>
      </c>
      <c r="E111" t="s">
        <v>11</v>
      </c>
      <c r="F111" t="s">
        <v>12</v>
      </c>
      <c r="G111" t="s">
        <v>13</v>
      </c>
      <c r="H111">
        <f>MONTH(Table1[[#This Row],[Date]])</f>
        <v>3</v>
      </c>
      <c r="I111" s="2">
        <f>WEEKDAY(Table1[[#This Row],[Date]])</f>
        <v>6</v>
      </c>
      <c r="J111">
        <f>Table1[[#This Row],[Credit]]-Table1[[#This Row],[Debit]]</f>
        <v>-5</v>
      </c>
    </row>
    <row r="112" spans="1:10" x14ac:dyDescent="0.3">
      <c r="A112" s="1">
        <v>44632</v>
      </c>
      <c r="B112" t="s">
        <v>53</v>
      </c>
      <c r="C112">
        <v>137</v>
      </c>
      <c r="E112" t="s">
        <v>16</v>
      </c>
      <c r="F112" t="s">
        <v>14</v>
      </c>
      <c r="G112" t="s">
        <v>13</v>
      </c>
      <c r="H112">
        <f>MONTH(Table1[[#This Row],[Date]])</f>
        <v>3</v>
      </c>
      <c r="I112" s="2">
        <f>WEEKDAY(Table1[[#This Row],[Date]])</f>
        <v>7</v>
      </c>
      <c r="J112">
        <f>Table1[[#This Row],[Credit]]-Table1[[#This Row],[Debit]]</f>
        <v>-137</v>
      </c>
    </row>
    <row r="113" spans="1:10" x14ac:dyDescent="0.3">
      <c r="A113" s="1">
        <v>44632</v>
      </c>
      <c r="B113" t="s">
        <v>10</v>
      </c>
      <c r="C113">
        <v>5</v>
      </c>
      <c r="E113" t="s">
        <v>11</v>
      </c>
      <c r="F113" t="s">
        <v>12</v>
      </c>
      <c r="G113" t="s">
        <v>13</v>
      </c>
      <c r="H113">
        <f>MONTH(Table1[[#This Row],[Date]])</f>
        <v>3</v>
      </c>
      <c r="I113" s="2">
        <f>WEEKDAY(Table1[[#This Row],[Date]])</f>
        <v>7</v>
      </c>
      <c r="J113">
        <f>Table1[[#This Row],[Credit]]-Table1[[#This Row],[Debit]]</f>
        <v>-5</v>
      </c>
    </row>
    <row r="114" spans="1:10" x14ac:dyDescent="0.3">
      <c r="A114" s="1">
        <v>44633</v>
      </c>
      <c r="B114" t="s">
        <v>10</v>
      </c>
      <c r="C114">
        <v>5</v>
      </c>
      <c r="E114" t="s">
        <v>11</v>
      </c>
      <c r="F114" t="s">
        <v>12</v>
      </c>
      <c r="G114" t="s">
        <v>13</v>
      </c>
      <c r="H114">
        <f>MONTH(Table1[[#This Row],[Date]])</f>
        <v>3</v>
      </c>
      <c r="I114" s="2">
        <f>WEEKDAY(Table1[[#This Row],[Date]])</f>
        <v>1</v>
      </c>
      <c r="J114">
        <f>Table1[[#This Row],[Credit]]-Table1[[#This Row],[Debit]]</f>
        <v>-5</v>
      </c>
    </row>
    <row r="115" spans="1:10" x14ac:dyDescent="0.3">
      <c r="A115" s="1">
        <v>44633</v>
      </c>
      <c r="B115" t="s">
        <v>20</v>
      </c>
      <c r="C115">
        <v>41.8</v>
      </c>
      <c r="E115" t="s">
        <v>21</v>
      </c>
      <c r="F115" t="s">
        <v>22</v>
      </c>
      <c r="G115" t="s">
        <v>13</v>
      </c>
      <c r="H115">
        <f>MONTH(Table1[[#This Row],[Date]])</f>
        <v>3</v>
      </c>
      <c r="I115" s="2">
        <f>WEEKDAY(Table1[[#This Row],[Date]])</f>
        <v>1</v>
      </c>
      <c r="J115">
        <f>Table1[[#This Row],[Credit]]-Table1[[#This Row],[Debit]]</f>
        <v>-41.8</v>
      </c>
    </row>
    <row r="116" spans="1:10" x14ac:dyDescent="0.3">
      <c r="A116" s="1">
        <v>44633</v>
      </c>
      <c r="B116" t="s">
        <v>65</v>
      </c>
      <c r="C116">
        <v>99.9</v>
      </c>
      <c r="E116" t="s">
        <v>24</v>
      </c>
      <c r="F116" t="s">
        <v>22</v>
      </c>
      <c r="G116" t="s">
        <v>13</v>
      </c>
      <c r="H116">
        <f>MONTH(Table1[[#This Row],[Date]])</f>
        <v>3</v>
      </c>
      <c r="I116" s="2">
        <f>WEEKDAY(Table1[[#This Row],[Date]])</f>
        <v>1</v>
      </c>
      <c r="J116">
        <f>Table1[[#This Row],[Credit]]-Table1[[#This Row],[Debit]]</f>
        <v>-99.9</v>
      </c>
    </row>
    <row r="117" spans="1:10" x14ac:dyDescent="0.3">
      <c r="A117" s="1">
        <v>44633</v>
      </c>
      <c r="B117" t="s">
        <v>25</v>
      </c>
      <c r="C117">
        <v>54</v>
      </c>
      <c r="E117" t="s">
        <v>26</v>
      </c>
      <c r="F117" t="s">
        <v>12</v>
      </c>
      <c r="G117" t="s">
        <v>13</v>
      </c>
      <c r="H117">
        <f>MONTH(Table1[[#This Row],[Date]])</f>
        <v>3</v>
      </c>
      <c r="I117" s="2">
        <f>WEEKDAY(Table1[[#This Row],[Date]])</f>
        <v>1</v>
      </c>
      <c r="J117">
        <f>Table1[[#This Row],[Credit]]-Table1[[#This Row],[Debit]]</f>
        <v>-54</v>
      </c>
    </row>
    <row r="118" spans="1:10" x14ac:dyDescent="0.3">
      <c r="A118" s="1">
        <v>44634</v>
      </c>
      <c r="B118" t="s">
        <v>48</v>
      </c>
      <c r="C118">
        <v>30</v>
      </c>
      <c r="E118" t="s">
        <v>27</v>
      </c>
      <c r="F118" t="s">
        <v>15</v>
      </c>
      <c r="G118" t="s">
        <v>13</v>
      </c>
      <c r="H118">
        <f>MONTH(Table1[[#This Row],[Date]])</f>
        <v>3</v>
      </c>
      <c r="I118" s="2">
        <f>WEEKDAY(Table1[[#This Row],[Date]])</f>
        <v>2</v>
      </c>
      <c r="J118">
        <f>Table1[[#This Row],[Credit]]-Table1[[#This Row],[Debit]]</f>
        <v>-30</v>
      </c>
    </row>
    <row r="119" spans="1:10" x14ac:dyDescent="0.3">
      <c r="A119" s="1">
        <v>44635</v>
      </c>
      <c r="B119" t="s">
        <v>9</v>
      </c>
      <c r="D119">
        <v>1000</v>
      </c>
      <c r="E119" t="s">
        <v>49</v>
      </c>
      <c r="F119" t="s">
        <v>28</v>
      </c>
      <c r="G119" t="s">
        <v>9</v>
      </c>
      <c r="H119">
        <f>MONTH(Table1[[#This Row],[Date]])</f>
        <v>3</v>
      </c>
      <c r="I119" s="2">
        <f>WEEKDAY(Table1[[#This Row],[Date]])</f>
        <v>3</v>
      </c>
      <c r="J119">
        <f>Table1[[#This Row],[Credit]]-Table1[[#This Row],[Debit]]</f>
        <v>1000</v>
      </c>
    </row>
    <row r="120" spans="1:10" x14ac:dyDescent="0.3">
      <c r="A120" s="1">
        <v>44635</v>
      </c>
      <c r="B120" t="s">
        <v>10</v>
      </c>
      <c r="C120">
        <v>5</v>
      </c>
      <c r="E120" t="s">
        <v>11</v>
      </c>
      <c r="F120" t="s">
        <v>12</v>
      </c>
      <c r="G120" t="s">
        <v>13</v>
      </c>
      <c r="H120">
        <f>MONTH(Table1[[#This Row],[Date]])</f>
        <v>3</v>
      </c>
      <c r="I120" s="2">
        <f>WEEKDAY(Table1[[#This Row],[Date]])</f>
        <v>3</v>
      </c>
      <c r="J120">
        <f>Table1[[#This Row],[Credit]]-Table1[[#This Row],[Debit]]</f>
        <v>-5</v>
      </c>
    </row>
    <row r="121" spans="1:10" x14ac:dyDescent="0.3">
      <c r="A121" s="1">
        <v>44636</v>
      </c>
      <c r="B121" t="s">
        <v>10</v>
      </c>
      <c r="C121">
        <v>5</v>
      </c>
      <c r="E121" t="s">
        <v>11</v>
      </c>
      <c r="F121" t="s">
        <v>12</v>
      </c>
      <c r="G121" t="s">
        <v>13</v>
      </c>
      <c r="H121">
        <f>MONTH(Table1[[#This Row],[Date]])</f>
        <v>3</v>
      </c>
      <c r="I121" s="2">
        <f>WEEKDAY(Table1[[#This Row],[Date]])</f>
        <v>4</v>
      </c>
      <c r="J121">
        <f>Table1[[#This Row],[Credit]]-Table1[[#This Row],[Debit]]</f>
        <v>-5</v>
      </c>
    </row>
    <row r="122" spans="1:10" x14ac:dyDescent="0.3">
      <c r="A122" s="1">
        <v>44636</v>
      </c>
      <c r="B122" t="s">
        <v>37</v>
      </c>
      <c r="C122">
        <v>75</v>
      </c>
      <c r="E122" t="s">
        <v>38</v>
      </c>
      <c r="F122" t="s">
        <v>39</v>
      </c>
      <c r="G122" t="s">
        <v>13</v>
      </c>
      <c r="H122">
        <f>MONTH(Table1[[#This Row],[Date]])</f>
        <v>3</v>
      </c>
      <c r="I122" s="2">
        <f>WEEKDAY(Table1[[#This Row],[Date]])</f>
        <v>4</v>
      </c>
      <c r="J122">
        <f>Table1[[#This Row],[Credit]]-Table1[[#This Row],[Debit]]</f>
        <v>-75</v>
      </c>
    </row>
    <row r="123" spans="1:10" x14ac:dyDescent="0.3">
      <c r="A123" s="1">
        <v>44636</v>
      </c>
      <c r="B123" t="s">
        <v>29</v>
      </c>
      <c r="C123">
        <v>40</v>
      </c>
      <c r="E123" t="s">
        <v>29</v>
      </c>
      <c r="F123" t="s">
        <v>14</v>
      </c>
      <c r="G123" t="s">
        <v>13</v>
      </c>
      <c r="H123">
        <f>MONTH(Table1[[#This Row],[Date]])</f>
        <v>3</v>
      </c>
      <c r="I123" s="2">
        <f>WEEKDAY(Table1[[#This Row],[Date]])</f>
        <v>4</v>
      </c>
      <c r="J123">
        <f>Table1[[#This Row],[Credit]]-Table1[[#This Row],[Debit]]</f>
        <v>-40</v>
      </c>
    </row>
    <row r="124" spans="1:10" x14ac:dyDescent="0.3">
      <c r="A124" s="1">
        <v>44637</v>
      </c>
      <c r="B124" t="s">
        <v>50</v>
      </c>
      <c r="C124">
        <v>46.8</v>
      </c>
      <c r="E124" t="s">
        <v>30</v>
      </c>
      <c r="F124" t="s">
        <v>22</v>
      </c>
      <c r="G124" t="s">
        <v>13</v>
      </c>
      <c r="H124">
        <f>MONTH(Table1[[#This Row],[Date]])</f>
        <v>3</v>
      </c>
      <c r="I124" s="2">
        <f>WEEKDAY(Table1[[#This Row],[Date]])</f>
        <v>5</v>
      </c>
      <c r="J124">
        <f>Table1[[#This Row],[Credit]]-Table1[[#This Row],[Debit]]</f>
        <v>-46.8</v>
      </c>
    </row>
    <row r="125" spans="1:10" x14ac:dyDescent="0.3">
      <c r="A125" s="1">
        <v>44637</v>
      </c>
      <c r="B125" t="s">
        <v>31</v>
      </c>
      <c r="C125">
        <v>35</v>
      </c>
      <c r="E125" t="s">
        <v>21</v>
      </c>
      <c r="F125" t="s">
        <v>22</v>
      </c>
      <c r="G125" t="s">
        <v>13</v>
      </c>
      <c r="H125">
        <f>MONTH(Table1[[#This Row],[Date]])</f>
        <v>3</v>
      </c>
      <c r="I125" s="2">
        <f>WEEKDAY(Table1[[#This Row],[Date]])</f>
        <v>5</v>
      </c>
      <c r="J125">
        <f>Table1[[#This Row],[Credit]]-Table1[[#This Row],[Debit]]</f>
        <v>-35</v>
      </c>
    </row>
    <row r="126" spans="1:10" x14ac:dyDescent="0.3">
      <c r="A126" s="1">
        <v>44637</v>
      </c>
      <c r="B126" t="s">
        <v>10</v>
      </c>
      <c r="C126">
        <v>5</v>
      </c>
      <c r="E126" t="s">
        <v>11</v>
      </c>
      <c r="F126" t="s">
        <v>12</v>
      </c>
      <c r="G126" t="s">
        <v>13</v>
      </c>
      <c r="H126">
        <f>MONTH(Table1[[#This Row],[Date]])</f>
        <v>3</v>
      </c>
      <c r="I126" s="2">
        <f>WEEKDAY(Table1[[#This Row],[Date]])</f>
        <v>5</v>
      </c>
      <c r="J126">
        <f>Table1[[#This Row],[Credit]]-Table1[[#This Row],[Debit]]</f>
        <v>-5</v>
      </c>
    </row>
    <row r="127" spans="1:10" x14ac:dyDescent="0.3">
      <c r="A127" s="1">
        <v>44638</v>
      </c>
      <c r="B127" t="s">
        <v>10</v>
      </c>
      <c r="C127">
        <v>5</v>
      </c>
      <c r="E127" t="s">
        <v>11</v>
      </c>
      <c r="F127" t="s">
        <v>12</v>
      </c>
      <c r="G127" t="s">
        <v>13</v>
      </c>
      <c r="H127">
        <f>MONTH(Table1[[#This Row],[Date]])</f>
        <v>3</v>
      </c>
      <c r="I127" s="2">
        <f>WEEKDAY(Table1[[#This Row],[Date]])</f>
        <v>6</v>
      </c>
      <c r="J127">
        <f>Table1[[#This Row],[Credit]]-Table1[[#This Row],[Debit]]</f>
        <v>-5</v>
      </c>
    </row>
    <row r="128" spans="1:10" x14ac:dyDescent="0.3">
      <c r="A128" s="1">
        <v>44639</v>
      </c>
      <c r="B128" t="s">
        <v>10</v>
      </c>
      <c r="C128">
        <v>5</v>
      </c>
      <c r="E128" t="s">
        <v>11</v>
      </c>
      <c r="F128" t="s">
        <v>12</v>
      </c>
      <c r="G128" t="s">
        <v>13</v>
      </c>
      <c r="H128">
        <f>MONTH(Table1[[#This Row],[Date]])</f>
        <v>3</v>
      </c>
      <c r="I128" s="2">
        <f>WEEKDAY(Table1[[#This Row],[Date]])</f>
        <v>7</v>
      </c>
      <c r="J128">
        <f>Table1[[#This Row],[Credit]]-Table1[[#This Row],[Debit]]</f>
        <v>-5</v>
      </c>
    </row>
    <row r="129" spans="1:10" x14ac:dyDescent="0.3">
      <c r="A129" s="1">
        <v>44639</v>
      </c>
      <c r="B129" t="s">
        <v>53</v>
      </c>
      <c r="C129">
        <v>171.9</v>
      </c>
      <c r="E129" t="s">
        <v>16</v>
      </c>
      <c r="F129" t="s">
        <v>14</v>
      </c>
      <c r="G129" t="s">
        <v>13</v>
      </c>
      <c r="H129">
        <f>MONTH(Table1[[#This Row],[Date]])</f>
        <v>3</v>
      </c>
      <c r="I129" s="2">
        <f>WEEKDAY(Table1[[#This Row],[Date]])</f>
        <v>7</v>
      </c>
      <c r="J129">
        <f>Table1[[#This Row],[Credit]]-Table1[[#This Row],[Debit]]</f>
        <v>-171.9</v>
      </c>
    </row>
    <row r="130" spans="1:10" x14ac:dyDescent="0.3">
      <c r="A130" s="1">
        <v>44640</v>
      </c>
      <c r="B130" t="s">
        <v>66</v>
      </c>
      <c r="C130">
        <v>39</v>
      </c>
      <c r="E130" t="s">
        <v>26</v>
      </c>
      <c r="F130" t="s">
        <v>12</v>
      </c>
      <c r="G130" t="s">
        <v>13</v>
      </c>
      <c r="H130">
        <f>MONTH(Table1[[#This Row],[Date]])</f>
        <v>3</v>
      </c>
      <c r="I130" s="2">
        <f>WEEKDAY(Table1[[#This Row],[Date]])</f>
        <v>1</v>
      </c>
      <c r="J130">
        <f>Table1[[#This Row],[Credit]]-Table1[[#This Row],[Debit]]</f>
        <v>-39</v>
      </c>
    </row>
    <row r="131" spans="1:10" x14ac:dyDescent="0.3">
      <c r="A131" s="1">
        <v>44641</v>
      </c>
      <c r="B131" t="s">
        <v>67</v>
      </c>
      <c r="C131">
        <v>14</v>
      </c>
      <c r="E131" t="s">
        <v>26</v>
      </c>
      <c r="F131" t="s">
        <v>12</v>
      </c>
      <c r="G131" t="s">
        <v>13</v>
      </c>
      <c r="H131">
        <f>MONTH(Table1[[#This Row],[Date]])</f>
        <v>3</v>
      </c>
      <c r="I131" s="2">
        <f>WEEKDAY(Table1[[#This Row],[Date]])</f>
        <v>2</v>
      </c>
      <c r="J131">
        <f>Table1[[#This Row],[Credit]]-Table1[[#This Row],[Debit]]</f>
        <v>-14</v>
      </c>
    </row>
    <row r="132" spans="1:10" x14ac:dyDescent="0.3">
      <c r="A132" s="1">
        <v>44642</v>
      </c>
      <c r="B132" t="s">
        <v>32</v>
      </c>
      <c r="C132">
        <v>55</v>
      </c>
      <c r="E132" t="s">
        <v>33</v>
      </c>
      <c r="F132" t="s">
        <v>34</v>
      </c>
      <c r="G132" t="s">
        <v>13</v>
      </c>
      <c r="H132">
        <f>MONTH(Table1[[#This Row],[Date]])</f>
        <v>3</v>
      </c>
      <c r="I132" s="2">
        <f>WEEKDAY(Table1[[#This Row],[Date]])</f>
        <v>3</v>
      </c>
      <c r="J132">
        <f>Table1[[#This Row],[Credit]]-Table1[[#This Row],[Debit]]</f>
        <v>-55</v>
      </c>
    </row>
    <row r="133" spans="1:10" x14ac:dyDescent="0.3">
      <c r="A133" s="1">
        <v>44642</v>
      </c>
      <c r="B133" t="s">
        <v>19</v>
      </c>
      <c r="C133">
        <v>65</v>
      </c>
      <c r="E133" t="s">
        <v>35</v>
      </c>
      <c r="F133" t="s">
        <v>15</v>
      </c>
      <c r="G133" t="s">
        <v>13</v>
      </c>
      <c r="H133">
        <f>MONTH(Table1[[#This Row],[Date]])</f>
        <v>3</v>
      </c>
      <c r="I133" s="2">
        <f>WEEKDAY(Table1[[#This Row],[Date]])</f>
        <v>3</v>
      </c>
      <c r="J133">
        <f>Table1[[#This Row],[Credit]]-Table1[[#This Row],[Debit]]</f>
        <v>-65</v>
      </c>
    </row>
    <row r="134" spans="1:10" x14ac:dyDescent="0.3">
      <c r="A134" s="1">
        <v>44642</v>
      </c>
      <c r="B134" t="s">
        <v>10</v>
      </c>
      <c r="C134">
        <v>5</v>
      </c>
      <c r="E134" t="s">
        <v>11</v>
      </c>
      <c r="F134" t="s">
        <v>12</v>
      </c>
      <c r="G134" t="s">
        <v>13</v>
      </c>
      <c r="H134">
        <f>MONTH(Table1[[#This Row],[Date]])</f>
        <v>3</v>
      </c>
      <c r="I134" s="2">
        <f>WEEKDAY(Table1[[#This Row],[Date]])</f>
        <v>3</v>
      </c>
      <c r="J134">
        <f>Table1[[#This Row],[Credit]]-Table1[[#This Row],[Debit]]</f>
        <v>-5</v>
      </c>
    </row>
    <row r="135" spans="1:10" x14ac:dyDescent="0.3">
      <c r="A135" s="1">
        <v>44643</v>
      </c>
      <c r="B135" t="s">
        <v>10</v>
      </c>
      <c r="C135">
        <v>5</v>
      </c>
      <c r="E135" t="s">
        <v>11</v>
      </c>
      <c r="F135" t="s">
        <v>12</v>
      </c>
      <c r="G135" t="s">
        <v>13</v>
      </c>
      <c r="H135">
        <f>MONTH(Table1[[#This Row],[Date]])</f>
        <v>3</v>
      </c>
      <c r="I135" s="2">
        <f>WEEKDAY(Table1[[#This Row],[Date]])</f>
        <v>4</v>
      </c>
      <c r="J135">
        <f>Table1[[#This Row],[Credit]]-Table1[[#This Row],[Debit]]</f>
        <v>-5</v>
      </c>
    </row>
    <row r="136" spans="1:10" x14ac:dyDescent="0.3">
      <c r="A136" s="1">
        <v>44644</v>
      </c>
      <c r="B136" t="s">
        <v>10</v>
      </c>
      <c r="C136">
        <v>5</v>
      </c>
      <c r="E136" t="s">
        <v>11</v>
      </c>
      <c r="F136" t="s">
        <v>12</v>
      </c>
      <c r="G136" t="s">
        <v>13</v>
      </c>
      <c r="H136">
        <f>MONTH(Table1[[#This Row],[Date]])</f>
        <v>3</v>
      </c>
      <c r="I136" s="2">
        <f>WEEKDAY(Table1[[#This Row],[Date]])</f>
        <v>5</v>
      </c>
      <c r="J136">
        <f>Table1[[#This Row],[Credit]]-Table1[[#This Row],[Debit]]</f>
        <v>-5</v>
      </c>
    </row>
    <row r="137" spans="1:10" x14ac:dyDescent="0.3">
      <c r="A137" s="1">
        <v>44645</v>
      </c>
      <c r="B137" t="s">
        <v>10</v>
      </c>
      <c r="C137">
        <v>5</v>
      </c>
      <c r="E137" t="s">
        <v>11</v>
      </c>
      <c r="F137" t="s">
        <v>12</v>
      </c>
      <c r="G137" t="s">
        <v>13</v>
      </c>
      <c r="H137">
        <f>MONTH(Table1[[#This Row],[Date]])</f>
        <v>3</v>
      </c>
      <c r="I137" s="2">
        <f>WEEKDAY(Table1[[#This Row],[Date]])</f>
        <v>6</v>
      </c>
      <c r="J137">
        <f>Table1[[#This Row],[Credit]]-Table1[[#This Row],[Debit]]</f>
        <v>-5</v>
      </c>
    </row>
    <row r="138" spans="1:10" x14ac:dyDescent="0.3">
      <c r="A138" s="1">
        <v>44646</v>
      </c>
      <c r="B138" t="s">
        <v>10</v>
      </c>
      <c r="C138">
        <v>5</v>
      </c>
      <c r="E138" t="s">
        <v>11</v>
      </c>
      <c r="F138" t="s">
        <v>12</v>
      </c>
      <c r="G138" t="s">
        <v>13</v>
      </c>
      <c r="H138">
        <f>MONTH(Table1[[#This Row],[Date]])</f>
        <v>3</v>
      </c>
      <c r="I138" s="2">
        <f>WEEKDAY(Table1[[#This Row],[Date]])</f>
        <v>7</v>
      </c>
      <c r="J138">
        <f>Table1[[#This Row],[Credit]]-Table1[[#This Row],[Debit]]</f>
        <v>-5</v>
      </c>
    </row>
    <row r="139" spans="1:10" x14ac:dyDescent="0.3">
      <c r="A139" s="1">
        <v>44646</v>
      </c>
      <c r="B139" t="s">
        <v>53</v>
      </c>
      <c r="C139">
        <v>209</v>
      </c>
      <c r="E139" t="s">
        <v>16</v>
      </c>
      <c r="F139" t="s">
        <v>14</v>
      </c>
      <c r="G139" t="s">
        <v>13</v>
      </c>
      <c r="H139">
        <f>MONTH(Table1[[#This Row],[Date]])</f>
        <v>3</v>
      </c>
      <c r="I139" s="2">
        <f>WEEKDAY(Table1[[#This Row],[Date]])</f>
        <v>7</v>
      </c>
      <c r="J139">
        <f>Table1[[#This Row],[Credit]]-Table1[[#This Row],[Debit]]</f>
        <v>-209</v>
      </c>
    </row>
    <row r="140" spans="1:10" x14ac:dyDescent="0.3">
      <c r="A140" s="1">
        <v>44647</v>
      </c>
      <c r="B140" t="s">
        <v>56</v>
      </c>
      <c r="C140">
        <v>127</v>
      </c>
      <c r="E140" t="s">
        <v>24</v>
      </c>
      <c r="F140" t="s">
        <v>22</v>
      </c>
      <c r="G140" t="s">
        <v>13</v>
      </c>
      <c r="H140">
        <f>MONTH(Table1[[#This Row],[Date]])</f>
        <v>3</v>
      </c>
      <c r="I140" s="2">
        <f>WEEKDAY(Table1[[#This Row],[Date]])</f>
        <v>1</v>
      </c>
      <c r="J140">
        <f>Table1[[#This Row],[Credit]]-Table1[[#This Row],[Debit]]</f>
        <v>-127</v>
      </c>
    </row>
    <row r="141" spans="1:10" x14ac:dyDescent="0.3">
      <c r="A141" s="1">
        <v>44647</v>
      </c>
      <c r="B141" t="s">
        <v>68</v>
      </c>
      <c r="C141">
        <v>177.2</v>
      </c>
      <c r="E141" t="s">
        <v>24</v>
      </c>
      <c r="F141" t="s">
        <v>22</v>
      </c>
      <c r="G141" t="s">
        <v>13</v>
      </c>
      <c r="H141">
        <f>MONTH(Table1[[#This Row],[Date]])</f>
        <v>3</v>
      </c>
      <c r="I141" s="2">
        <f>WEEKDAY(Table1[[#This Row],[Date]])</f>
        <v>1</v>
      </c>
      <c r="J141">
        <f>Table1[[#This Row],[Credit]]-Table1[[#This Row],[Debit]]</f>
        <v>-177.2</v>
      </c>
    </row>
    <row r="142" spans="1:10" x14ac:dyDescent="0.3">
      <c r="A142" s="1">
        <v>44648</v>
      </c>
      <c r="B142" t="s">
        <v>69</v>
      </c>
      <c r="C142">
        <v>147.1</v>
      </c>
      <c r="E142" t="s">
        <v>24</v>
      </c>
      <c r="F142" t="s">
        <v>22</v>
      </c>
      <c r="G142" t="s">
        <v>13</v>
      </c>
      <c r="H142">
        <f>MONTH(Table1[[#This Row],[Date]])</f>
        <v>3</v>
      </c>
      <c r="I142" s="2">
        <f>WEEKDAY(Table1[[#This Row],[Date]])</f>
        <v>2</v>
      </c>
      <c r="J142">
        <f>Table1[[#This Row],[Credit]]-Table1[[#This Row],[Debit]]</f>
        <v>-147.1</v>
      </c>
    </row>
    <row r="143" spans="1:10" x14ac:dyDescent="0.3">
      <c r="A143" s="1">
        <v>44648</v>
      </c>
      <c r="B143" t="s">
        <v>48</v>
      </c>
      <c r="C143">
        <v>25</v>
      </c>
      <c r="E143" t="s">
        <v>27</v>
      </c>
      <c r="F143" t="s">
        <v>15</v>
      </c>
      <c r="G143" t="s">
        <v>13</v>
      </c>
      <c r="H143">
        <f>MONTH(Table1[[#This Row],[Date]])</f>
        <v>3</v>
      </c>
      <c r="I143" s="2">
        <f>WEEKDAY(Table1[[#This Row],[Date]])</f>
        <v>2</v>
      </c>
      <c r="J143">
        <f>Table1[[#This Row],[Credit]]-Table1[[#This Row],[Debit]]</f>
        <v>-25</v>
      </c>
    </row>
    <row r="144" spans="1:10" x14ac:dyDescent="0.3">
      <c r="A144" s="1">
        <v>44649</v>
      </c>
      <c r="B144" t="s">
        <v>70</v>
      </c>
      <c r="C144">
        <v>15</v>
      </c>
      <c r="E144" t="s">
        <v>26</v>
      </c>
      <c r="F144" t="s">
        <v>12</v>
      </c>
      <c r="G144" t="s">
        <v>13</v>
      </c>
      <c r="H144">
        <f>MONTH(Table1[[#This Row],[Date]])</f>
        <v>3</v>
      </c>
      <c r="I144" s="2">
        <f>WEEKDAY(Table1[[#This Row],[Date]])</f>
        <v>3</v>
      </c>
      <c r="J144">
        <f>Table1[[#This Row],[Credit]]-Table1[[#This Row],[Debit]]</f>
        <v>-15</v>
      </c>
    </row>
    <row r="145" spans="1:10" x14ac:dyDescent="0.3">
      <c r="A145" s="1">
        <v>44650</v>
      </c>
      <c r="B145" t="s">
        <v>10</v>
      </c>
      <c r="C145">
        <v>5</v>
      </c>
      <c r="E145" t="s">
        <v>11</v>
      </c>
      <c r="F145" t="s">
        <v>12</v>
      </c>
      <c r="G145" t="s">
        <v>13</v>
      </c>
      <c r="H145">
        <f>MONTH(Table1[[#This Row],[Date]])</f>
        <v>3</v>
      </c>
      <c r="I145" s="2">
        <f>WEEKDAY(Table1[[#This Row],[Date]])</f>
        <v>4</v>
      </c>
      <c r="J145">
        <f>Table1[[#This Row],[Credit]]-Table1[[#This Row],[Debit]]</f>
        <v>-5</v>
      </c>
    </row>
    <row r="146" spans="1:10" x14ac:dyDescent="0.3">
      <c r="A146" s="1">
        <v>44651</v>
      </c>
      <c r="B146" t="s">
        <v>10</v>
      </c>
      <c r="C146">
        <v>5</v>
      </c>
      <c r="E146" t="s">
        <v>11</v>
      </c>
      <c r="F146" t="s">
        <v>12</v>
      </c>
      <c r="G146" t="s">
        <v>13</v>
      </c>
      <c r="H146">
        <f>MONTH(Table1[[#This Row],[Date]])</f>
        <v>3</v>
      </c>
      <c r="I146" s="2">
        <f>WEEKDAY(Table1[[#This Row],[Date]])</f>
        <v>5</v>
      </c>
      <c r="J146">
        <f>Table1[[#This Row],[Credit]]-Table1[[#This Row],[Debit]]</f>
        <v>-5</v>
      </c>
    </row>
    <row r="147" spans="1:10" x14ac:dyDescent="0.3">
      <c r="A147" s="1">
        <v>44652</v>
      </c>
      <c r="B147" t="s">
        <v>7</v>
      </c>
      <c r="D147">
        <v>5000</v>
      </c>
      <c r="E147" t="s">
        <v>64</v>
      </c>
      <c r="F147" t="s">
        <v>8</v>
      </c>
      <c r="G147" t="s">
        <v>9</v>
      </c>
      <c r="H147">
        <f>MONTH(Table1[[#This Row],[Date]])</f>
        <v>4</v>
      </c>
      <c r="I147" s="2">
        <f>WEEKDAY(Table1[[#This Row],[Date]])</f>
        <v>6</v>
      </c>
      <c r="J147">
        <f>Table1[[#This Row],[Credit]]-Table1[[#This Row],[Debit]]</f>
        <v>5000</v>
      </c>
    </row>
    <row r="148" spans="1:10" x14ac:dyDescent="0.3">
      <c r="A148" s="1">
        <v>44652</v>
      </c>
      <c r="B148" t="s">
        <v>10</v>
      </c>
      <c r="C148">
        <v>5</v>
      </c>
      <c r="E148" t="s">
        <v>11</v>
      </c>
      <c r="F148" t="s">
        <v>12</v>
      </c>
      <c r="G148" t="s">
        <v>13</v>
      </c>
      <c r="H148">
        <f>MONTH(Table1[[#This Row],[Date]])</f>
        <v>4</v>
      </c>
      <c r="I148" s="2">
        <f>WEEKDAY(Table1[[#This Row],[Date]])</f>
        <v>6</v>
      </c>
      <c r="J148">
        <f>Table1[[#This Row],[Credit]]-Table1[[#This Row],[Debit]]</f>
        <v>-5</v>
      </c>
    </row>
    <row r="149" spans="1:10" x14ac:dyDescent="0.3">
      <c r="A149" s="1">
        <v>44653</v>
      </c>
      <c r="B149" t="s">
        <v>53</v>
      </c>
      <c r="C149">
        <v>750</v>
      </c>
      <c r="E149" t="s">
        <v>16</v>
      </c>
      <c r="F149" t="s">
        <v>14</v>
      </c>
      <c r="G149" t="s">
        <v>13</v>
      </c>
      <c r="H149">
        <f>MONTH(Table1[[#This Row],[Date]])</f>
        <v>4</v>
      </c>
      <c r="I149" s="2">
        <f>WEEKDAY(Table1[[#This Row],[Date]])</f>
        <v>7</v>
      </c>
      <c r="J149">
        <f>Table1[[#This Row],[Credit]]-Table1[[#This Row],[Debit]]</f>
        <v>-750</v>
      </c>
    </row>
    <row r="150" spans="1:10" x14ac:dyDescent="0.3">
      <c r="A150" s="1">
        <v>44653</v>
      </c>
      <c r="B150" t="s">
        <v>72</v>
      </c>
      <c r="C150">
        <v>150</v>
      </c>
      <c r="E150" t="s">
        <v>71</v>
      </c>
      <c r="F150" t="s">
        <v>90</v>
      </c>
      <c r="G150" t="s">
        <v>13</v>
      </c>
      <c r="H150">
        <f>MONTH(Table1[[#This Row],[Date]])</f>
        <v>4</v>
      </c>
      <c r="I150" s="2">
        <f>WEEKDAY(Table1[[#This Row],[Date]])</f>
        <v>7</v>
      </c>
      <c r="J150">
        <f>Table1[[#This Row],[Credit]]-Table1[[#This Row],[Debit]]</f>
        <v>-150</v>
      </c>
    </row>
    <row r="151" spans="1:10" x14ac:dyDescent="0.3">
      <c r="A151" s="1">
        <v>44653</v>
      </c>
      <c r="B151" t="s">
        <v>10</v>
      </c>
      <c r="C151">
        <v>5</v>
      </c>
      <c r="E151" t="s">
        <v>11</v>
      </c>
      <c r="F151" t="s">
        <v>12</v>
      </c>
      <c r="G151" t="s">
        <v>13</v>
      </c>
      <c r="H151">
        <f>MONTH(Table1[[#This Row],[Date]])</f>
        <v>4</v>
      </c>
      <c r="I151" s="2">
        <f>WEEKDAY(Table1[[#This Row],[Date]])</f>
        <v>7</v>
      </c>
      <c r="J151">
        <f>Table1[[#This Row],[Credit]]-Table1[[#This Row],[Debit]]</f>
        <v>-5</v>
      </c>
    </row>
    <row r="152" spans="1:10" x14ac:dyDescent="0.3">
      <c r="A152" s="1">
        <v>44654</v>
      </c>
      <c r="B152" t="s">
        <v>10</v>
      </c>
      <c r="C152">
        <v>5</v>
      </c>
      <c r="E152" t="s">
        <v>11</v>
      </c>
      <c r="F152" t="s">
        <v>12</v>
      </c>
      <c r="G152" t="s">
        <v>13</v>
      </c>
      <c r="H152">
        <f>MONTH(Table1[[#This Row],[Date]])</f>
        <v>4</v>
      </c>
      <c r="I152" s="2">
        <f>WEEKDAY(Table1[[#This Row],[Date]])</f>
        <v>1</v>
      </c>
      <c r="J152">
        <f>Table1[[#This Row],[Credit]]-Table1[[#This Row],[Debit]]</f>
        <v>-5</v>
      </c>
    </row>
    <row r="153" spans="1:10" x14ac:dyDescent="0.3">
      <c r="A153" s="1">
        <v>44655</v>
      </c>
      <c r="B153" t="s">
        <v>10</v>
      </c>
      <c r="C153">
        <v>5</v>
      </c>
      <c r="E153" t="s">
        <v>11</v>
      </c>
      <c r="F153" t="s">
        <v>12</v>
      </c>
      <c r="G153" t="s">
        <v>13</v>
      </c>
      <c r="H153">
        <f>MONTH(Table1[[#This Row],[Date]])</f>
        <v>4</v>
      </c>
      <c r="I153" s="2">
        <f>WEEKDAY(Table1[[#This Row],[Date]])</f>
        <v>2</v>
      </c>
      <c r="J153">
        <f>Table1[[#This Row],[Credit]]-Table1[[#This Row],[Debit]]</f>
        <v>-5</v>
      </c>
    </row>
    <row r="154" spans="1:10" x14ac:dyDescent="0.3">
      <c r="A154" s="1">
        <v>44656</v>
      </c>
      <c r="B154" t="s">
        <v>10</v>
      </c>
      <c r="C154">
        <v>5</v>
      </c>
      <c r="E154" t="s">
        <v>11</v>
      </c>
      <c r="F154" t="s">
        <v>12</v>
      </c>
      <c r="G154" t="s">
        <v>13</v>
      </c>
      <c r="H154">
        <f>MONTH(Table1[[#This Row],[Date]])</f>
        <v>4</v>
      </c>
      <c r="I154" s="2">
        <f>WEEKDAY(Table1[[#This Row],[Date]])</f>
        <v>3</v>
      </c>
      <c r="J154">
        <f>Table1[[#This Row],[Credit]]-Table1[[#This Row],[Debit]]</f>
        <v>-5</v>
      </c>
    </row>
    <row r="155" spans="1:10" x14ac:dyDescent="0.3">
      <c r="A155" s="1">
        <v>44656</v>
      </c>
      <c r="B155" t="s">
        <v>53</v>
      </c>
      <c r="C155">
        <v>158.19999999999999</v>
      </c>
      <c r="E155" t="s">
        <v>16</v>
      </c>
      <c r="F155" t="s">
        <v>14</v>
      </c>
      <c r="G155" t="s">
        <v>13</v>
      </c>
      <c r="H155">
        <f>MONTH(Table1[[#This Row],[Date]])</f>
        <v>4</v>
      </c>
      <c r="I155" s="2">
        <f>WEEKDAY(Table1[[#This Row],[Date]])</f>
        <v>3</v>
      </c>
      <c r="J155">
        <f>Table1[[#This Row],[Credit]]-Table1[[#This Row],[Debit]]</f>
        <v>-158.19999999999999</v>
      </c>
    </row>
    <row r="156" spans="1:10" x14ac:dyDescent="0.3">
      <c r="A156" s="1">
        <v>44659</v>
      </c>
      <c r="B156" t="s">
        <v>17</v>
      </c>
      <c r="C156">
        <v>53.2</v>
      </c>
      <c r="E156" t="s">
        <v>18</v>
      </c>
      <c r="F156" t="s">
        <v>14</v>
      </c>
      <c r="G156" t="s">
        <v>13</v>
      </c>
      <c r="H156">
        <f>MONTH(Table1[[#This Row],[Date]])</f>
        <v>4</v>
      </c>
      <c r="I156" s="2">
        <f>WEEKDAY(Table1[[#This Row],[Date]])</f>
        <v>6</v>
      </c>
      <c r="J156">
        <f>Table1[[#This Row],[Credit]]-Table1[[#This Row],[Debit]]</f>
        <v>-53.2</v>
      </c>
    </row>
    <row r="157" spans="1:10" x14ac:dyDescent="0.3">
      <c r="A157" s="1">
        <v>44659</v>
      </c>
      <c r="B157" t="s">
        <v>10</v>
      </c>
      <c r="C157">
        <v>5</v>
      </c>
      <c r="E157" t="s">
        <v>11</v>
      </c>
      <c r="F157" t="s">
        <v>12</v>
      </c>
      <c r="G157" t="s">
        <v>13</v>
      </c>
      <c r="H157">
        <f>MONTH(Table1[[#This Row],[Date]])</f>
        <v>4</v>
      </c>
      <c r="I157" s="2">
        <f>WEEKDAY(Table1[[#This Row],[Date]])</f>
        <v>6</v>
      </c>
      <c r="J157">
        <f>Table1[[#This Row],[Credit]]-Table1[[#This Row],[Debit]]</f>
        <v>-5</v>
      </c>
    </row>
    <row r="158" spans="1:10" x14ac:dyDescent="0.3">
      <c r="A158" s="1">
        <v>44660</v>
      </c>
      <c r="B158" t="s">
        <v>10</v>
      </c>
      <c r="C158">
        <v>5</v>
      </c>
      <c r="E158" t="s">
        <v>11</v>
      </c>
      <c r="F158" t="s">
        <v>12</v>
      </c>
      <c r="G158" t="s">
        <v>13</v>
      </c>
      <c r="H158">
        <f>MONTH(Table1[[#This Row],[Date]])</f>
        <v>4</v>
      </c>
      <c r="I158" s="2">
        <f>WEEKDAY(Table1[[#This Row],[Date]])</f>
        <v>7</v>
      </c>
      <c r="J158">
        <f>Table1[[#This Row],[Credit]]-Table1[[#This Row],[Debit]]</f>
        <v>-5</v>
      </c>
    </row>
    <row r="159" spans="1:10" x14ac:dyDescent="0.3">
      <c r="A159" s="1">
        <v>44661</v>
      </c>
      <c r="B159" t="s">
        <v>19</v>
      </c>
      <c r="C159">
        <v>79.900000000000006</v>
      </c>
      <c r="E159" t="s">
        <v>35</v>
      </c>
      <c r="F159" t="s">
        <v>15</v>
      </c>
      <c r="G159" t="s">
        <v>13</v>
      </c>
      <c r="H159">
        <f>MONTH(Table1[[#This Row],[Date]])</f>
        <v>4</v>
      </c>
      <c r="I159" s="2">
        <f>WEEKDAY(Table1[[#This Row],[Date]])</f>
        <v>1</v>
      </c>
      <c r="J159">
        <f>Table1[[#This Row],[Credit]]-Table1[[#This Row],[Debit]]</f>
        <v>-79.900000000000006</v>
      </c>
    </row>
    <row r="160" spans="1:10" x14ac:dyDescent="0.3">
      <c r="A160" s="1">
        <v>44661</v>
      </c>
      <c r="B160" t="s">
        <v>10</v>
      </c>
      <c r="C160">
        <v>5</v>
      </c>
      <c r="E160" t="s">
        <v>11</v>
      </c>
      <c r="F160" t="s">
        <v>12</v>
      </c>
      <c r="G160" t="s">
        <v>13</v>
      </c>
      <c r="H160">
        <f>MONTH(Table1[[#This Row],[Date]])</f>
        <v>4</v>
      </c>
      <c r="I160" s="2">
        <f>WEEKDAY(Table1[[#This Row],[Date]])</f>
        <v>1</v>
      </c>
      <c r="J160">
        <f>Table1[[#This Row],[Credit]]-Table1[[#This Row],[Debit]]</f>
        <v>-5</v>
      </c>
    </row>
    <row r="161" spans="1:10" x14ac:dyDescent="0.3">
      <c r="A161" s="1">
        <v>44662</v>
      </c>
      <c r="B161" t="s">
        <v>10</v>
      </c>
      <c r="C161">
        <v>5</v>
      </c>
      <c r="E161" t="s">
        <v>11</v>
      </c>
      <c r="F161" t="s">
        <v>12</v>
      </c>
      <c r="G161" t="s">
        <v>13</v>
      </c>
      <c r="H161">
        <f>MONTH(Table1[[#This Row],[Date]])</f>
        <v>4</v>
      </c>
      <c r="I161" s="2">
        <f>WEEKDAY(Table1[[#This Row],[Date]])</f>
        <v>2</v>
      </c>
      <c r="J161">
        <f>Table1[[#This Row],[Credit]]-Table1[[#This Row],[Debit]]</f>
        <v>-5</v>
      </c>
    </row>
    <row r="162" spans="1:10" x14ac:dyDescent="0.3">
      <c r="A162" s="1">
        <v>44663</v>
      </c>
      <c r="B162" t="s">
        <v>53</v>
      </c>
      <c r="C162">
        <v>98</v>
      </c>
      <c r="E162" t="s">
        <v>16</v>
      </c>
      <c r="F162" t="s">
        <v>14</v>
      </c>
      <c r="G162" t="s">
        <v>13</v>
      </c>
      <c r="H162">
        <f>MONTH(Table1[[#This Row],[Date]])</f>
        <v>4</v>
      </c>
      <c r="I162" s="2">
        <f>WEEKDAY(Table1[[#This Row],[Date]])</f>
        <v>3</v>
      </c>
      <c r="J162">
        <f>Table1[[#This Row],[Credit]]-Table1[[#This Row],[Debit]]</f>
        <v>-98</v>
      </c>
    </row>
    <row r="163" spans="1:10" x14ac:dyDescent="0.3">
      <c r="A163" s="1">
        <v>44663</v>
      </c>
      <c r="B163" t="s">
        <v>10</v>
      </c>
      <c r="C163">
        <v>5</v>
      </c>
      <c r="E163" t="s">
        <v>11</v>
      </c>
      <c r="F163" t="s">
        <v>12</v>
      </c>
      <c r="G163" t="s">
        <v>13</v>
      </c>
      <c r="H163">
        <f>MONTH(Table1[[#This Row],[Date]])</f>
        <v>4</v>
      </c>
      <c r="I163" s="2">
        <f>WEEKDAY(Table1[[#This Row],[Date]])</f>
        <v>3</v>
      </c>
      <c r="J163">
        <f>Table1[[#This Row],[Credit]]-Table1[[#This Row],[Debit]]</f>
        <v>-5</v>
      </c>
    </row>
    <row r="164" spans="1:10" x14ac:dyDescent="0.3">
      <c r="A164" s="1">
        <v>44664</v>
      </c>
      <c r="B164" t="s">
        <v>10</v>
      </c>
      <c r="C164">
        <v>5</v>
      </c>
      <c r="E164" t="s">
        <v>11</v>
      </c>
      <c r="F164" t="s">
        <v>12</v>
      </c>
      <c r="G164" t="s">
        <v>13</v>
      </c>
      <c r="H164">
        <f>MONTH(Table1[[#This Row],[Date]])</f>
        <v>4</v>
      </c>
      <c r="I164" s="2">
        <f>WEEKDAY(Table1[[#This Row],[Date]])</f>
        <v>4</v>
      </c>
      <c r="J164">
        <f>Table1[[#This Row],[Credit]]-Table1[[#This Row],[Debit]]</f>
        <v>-5</v>
      </c>
    </row>
    <row r="165" spans="1:10" x14ac:dyDescent="0.3">
      <c r="A165" s="1">
        <v>44664</v>
      </c>
      <c r="B165" t="s">
        <v>20</v>
      </c>
      <c r="C165">
        <v>42.8</v>
      </c>
      <c r="E165" t="s">
        <v>21</v>
      </c>
      <c r="F165" t="s">
        <v>22</v>
      </c>
      <c r="G165" t="s">
        <v>13</v>
      </c>
      <c r="H165">
        <f>MONTH(Table1[[#This Row],[Date]])</f>
        <v>4</v>
      </c>
      <c r="I165" s="2">
        <f>WEEKDAY(Table1[[#This Row],[Date]])</f>
        <v>4</v>
      </c>
      <c r="J165">
        <f>Table1[[#This Row],[Credit]]-Table1[[#This Row],[Debit]]</f>
        <v>-42.8</v>
      </c>
    </row>
    <row r="166" spans="1:10" x14ac:dyDescent="0.3">
      <c r="A166" s="1">
        <v>44664</v>
      </c>
      <c r="B166" t="s">
        <v>56</v>
      </c>
      <c r="C166">
        <v>100.9</v>
      </c>
      <c r="E166" t="s">
        <v>24</v>
      </c>
      <c r="F166" t="s">
        <v>22</v>
      </c>
      <c r="G166" t="s">
        <v>13</v>
      </c>
      <c r="H166">
        <f>MONTH(Table1[[#This Row],[Date]])</f>
        <v>4</v>
      </c>
      <c r="I166" s="2">
        <f>WEEKDAY(Table1[[#This Row],[Date]])</f>
        <v>4</v>
      </c>
      <c r="J166">
        <f>Table1[[#This Row],[Credit]]-Table1[[#This Row],[Debit]]</f>
        <v>-100.9</v>
      </c>
    </row>
    <row r="167" spans="1:10" x14ac:dyDescent="0.3">
      <c r="A167" s="1">
        <v>44664</v>
      </c>
      <c r="B167" t="s">
        <v>74</v>
      </c>
      <c r="C167">
        <v>54.9</v>
      </c>
      <c r="E167" t="s">
        <v>26</v>
      </c>
      <c r="F167" t="s">
        <v>12</v>
      </c>
      <c r="G167" t="s">
        <v>13</v>
      </c>
      <c r="H167">
        <f>MONTH(Table1[[#This Row],[Date]])</f>
        <v>4</v>
      </c>
      <c r="I167" s="2">
        <f>WEEKDAY(Table1[[#This Row],[Date]])</f>
        <v>4</v>
      </c>
      <c r="J167">
        <f>Table1[[#This Row],[Credit]]-Table1[[#This Row],[Debit]]</f>
        <v>-54.9</v>
      </c>
    </row>
    <row r="168" spans="1:10" x14ac:dyDescent="0.3">
      <c r="A168" s="1">
        <v>44665</v>
      </c>
      <c r="B168" t="s">
        <v>48</v>
      </c>
      <c r="C168">
        <v>31</v>
      </c>
      <c r="E168" t="s">
        <v>27</v>
      </c>
      <c r="F168" t="s">
        <v>15</v>
      </c>
      <c r="G168" t="s">
        <v>13</v>
      </c>
      <c r="H168">
        <f>MONTH(Table1[[#This Row],[Date]])</f>
        <v>4</v>
      </c>
      <c r="I168" s="2">
        <f>WEEKDAY(Table1[[#This Row],[Date]])</f>
        <v>5</v>
      </c>
      <c r="J168">
        <f>Table1[[#This Row],[Credit]]-Table1[[#This Row],[Debit]]</f>
        <v>-31</v>
      </c>
    </row>
    <row r="169" spans="1:10" x14ac:dyDescent="0.3">
      <c r="A169" s="1">
        <v>44666</v>
      </c>
      <c r="B169" t="s">
        <v>9</v>
      </c>
      <c r="D169">
        <v>2340</v>
      </c>
      <c r="E169" t="s">
        <v>49</v>
      </c>
      <c r="F169" t="s">
        <v>28</v>
      </c>
      <c r="G169" t="s">
        <v>9</v>
      </c>
      <c r="H169">
        <f>MONTH(Table1[[#This Row],[Date]])</f>
        <v>4</v>
      </c>
      <c r="I169" s="2">
        <f>WEEKDAY(Table1[[#This Row],[Date]])</f>
        <v>6</v>
      </c>
      <c r="J169">
        <f>Table1[[#This Row],[Credit]]-Table1[[#This Row],[Debit]]</f>
        <v>2340</v>
      </c>
    </row>
    <row r="170" spans="1:10" x14ac:dyDescent="0.3">
      <c r="A170" s="1">
        <v>44666</v>
      </c>
      <c r="B170" t="s">
        <v>10</v>
      </c>
      <c r="C170">
        <v>5</v>
      </c>
      <c r="E170" t="s">
        <v>11</v>
      </c>
      <c r="F170" t="s">
        <v>12</v>
      </c>
      <c r="G170" t="s">
        <v>13</v>
      </c>
      <c r="H170">
        <f>MONTH(Table1[[#This Row],[Date]])</f>
        <v>4</v>
      </c>
      <c r="I170" s="2">
        <f>WEEKDAY(Table1[[#This Row],[Date]])</f>
        <v>6</v>
      </c>
      <c r="J170">
        <f>Table1[[#This Row],[Credit]]-Table1[[#This Row],[Debit]]</f>
        <v>-5</v>
      </c>
    </row>
    <row r="171" spans="1:10" x14ac:dyDescent="0.3">
      <c r="A171" s="1">
        <v>44667</v>
      </c>
      <c r="B171" t="s">
        <v>10</v>
      </c>
      <c r="C171">
        <v>5</v>
      </c>
      <c r="E171" t="s">
        <v>11</v>
      </c>
      <c r="F171" t="s">
        <v>12</v>
      </c>
      <c r="G171" t="s">
        <v>13</v>
      </c>
      <c r="H171">
        <f>MONTH(Table1[[#This Row],[Date]])</f>
        <v>4</v>
      </c>
      <c r="I171" s="2">
        <f>WEEKDAY(Table1[[#This Row],[Date]])</f>
        <v>7</v>
      </c>
      <c r="J171">
        <f>Table1[[#This Row],[Credit]]-Table1[[#This Row],[Debit]]</f>
        <v>-5</v>
      </c>
    </row>
    <row r="172" spans="1:10" x14ac:dyDescent="0.3">
      <c r="A172" s="1">
        <v>44667</v>
      </c>
      <c r="B172" t="s">
        <v>29</v>
      </c>
      <c r="C172">
        <v>40</v>
      </c>
      <c r="E172" t="s">
        <v>29</v>
      </c>
      <c r="F172" t="s">
        <v>14</v>
      </c>
      <c r="G172" t="s">
        <v>13</v>
      </c>
      <c r="H172">
        <f>MONTH(Table1[[#This Row],[Date]])</f>
        <v>4</v>
      </c>
      <c r="I172" s="2">
        <f>WEEKDAY(Table1[[#This Row],[Date]])</f>
        <v>7</v>
      </c>
      <c r="J172">
        <f>Table1[[#This Row],[Credit]]-Table1[[#This Row],[Debit]]</f>
        <v>-40</v>
      </c>
    </row>
    <row r="173" spans="1:10" x14ac:dyDescent="0.3">
      <c r="A173" s="1">
        <v>44668</v>
      </c>
      <c r="B173" t="s">
        <v>50</v>
      </c>
      <c r="C173">
        <v>47.9</v>
      </c>
      <c r="E173" t="s">
        <v>30</v>
      </c>
      <c r="F173" t="s">
        <v>22</v>
      </c>
      <c r="G173" t="s">
        <v>13</v>
      </c>
      <c r="H173">
        <f>MONTH(Table1[[#This Row],[Date]])</f>
        <v>4</v>
      </c>
      <c r="I173" s="2">
        <f>WEEKDAY(Table1[[#This Row],[Date]])</f>
        <v>1</v>
      </c>
      <c r="J173">
        <f>Table1[[#This Row],[Credit]]-Table1[[#This Row],[Debit]]</f>
        <v>-47.9</v>
      </c>
    </row>
    <row r="174" spans="1:10" x14ac:dyDescent="0.3">
      <c r="A174" s="1">
        <v>44668</v>
      </c>
      <c r="B174" t="s">
        <v>31</v>
      </c>
      <c r="C174">
        <v>35</v>
      </c>
      <c r="E174" t="s">
        <v>21</v>
      </c>
      <c r="F174" t="s">
        <v>22</v>
      </c>
      <c r="G174" t="s">
        <v>13</v>
      </c>
      <c r="H174">
        <f>MONTH(Table1[[#This Row],[Date]])</f>
        <v>4</v>
      </c>
      <c r="I174" s="2">
        <f>WEEKDAY(Table1[[#This Row],[Date]])</f>
        <v>1</v>
      </c>
      <c r="J174">
        <f>Table1[[#This Row],[Credit]]-Table1[[#This Row],[Debit]]</f>
        <v>-35</v>
      </c>
    </row>
    <row r="175" spans="1:10" x14ac:dyDescent="0.3">
      <c r="A175" s="1">
        <v>44668</v>
      </c>
      <c r="B175" t="s">
        <v>10</v>
      </c>
      <c r="C175">
        <v>5</v>
      </c>
      <c r="E175" t="s">
        <v>11</v>
      </c>
      <c r="F175" t="s">
        <v>12</v>
      </c>
      <c r="G175" t="s">
        <v>13</v>
      </c>
      <c r="H175">
        <f>MONTH(Table1[[#This Row],[Date]])</f>
        <v>4</v>
      </c>
      <c r="I175" s="2">
        <f>WEEKDAY(Table1[[#This Row],[Date]])</f>
        <v>1</v>
      </c>
      <c r="J175">
        <f>Table1[[#This Row],[Credit]]-Table1[[#This Row],[Debit]]</f>
        <v>-5</v>
      </c>
    </row>
    <row r="176" spans="1:10" x14ac:dyDescent="0.3">
      <c r="A176" s="1">
        <v>44669</v>
      </c>
      <c r="B176" t="s">
        <v>10</v>
      </c>
      <c r="C176">
        <v>5</v>
      </c>
      <c r="E176" t="s">
        <v>11</v>
      </c>
      <c r="F176" t="s">
        <v>12</v>
      </c>
      <c r="G176" t="s">
        <v>13</v>
      </c>
      <c r="H176">
        <f>MONTH(Table1[[#This Row],[Date]])</f>
        <v>4</v>
      </c>
      <c r="I176" s="2">
        <f>WEEKDAY(Table1[[#This Row],[Date]])</f>
        <v>2</v>
      </c>
      <c r="J176">
        <f>Table1[[#This Row],[Credit]]-Table1[[#This Row],[Debit]]</f>
        <v>-5</v>
      </c>
    </row>
    <row r="177" spans="1:10" x14ac:dyDescent="0.3">
      <c r="A177" s="1">
        <v>44670</v>
      </c>
      <c r="B177" t="s">
        <v>10</v>
      </c>
      <c r="C177">
        <v>5</v>
      </c>
      <c r="E177" t="s">
        <v>11</v>
      </c>
      <c r="F177" t="s">
        <v>12</v>
      </c>
      <c r="G177" t="s">
        <v>13</v>
      </c>
      <c r="H177">
        <f>MONTH(Table1[[#This Row],[Date]])</f>
        <v>4</v>
      </c>
      <c r="I177" s="2">
        <f>WEEKDAY(Table1[[#This Row],[Date]])</f>
        <v>3</v>
      </c>
      <c r="J177">
        <f>Table1[[#This Row],[Credit]]-Table1[[#This Row],[Debit]]</f>
        <v>-5</v>
      </c>
    </row>
    <row r="178" spans="1:10" x14ac:dyDescent="0.3">
      <c r="A178" s="1">
        <v>44670</v>
      </c>
      <c r="B178" t="s">
        <v>53</v>
      </c>
      <c r="C178">
        <v>173</v>
      </c>
      <c r="E178" t="s">
        <v>16</v>
      </c>
      <c r="F178" t="s">
        <v>14</v>
      </c>
      <c r="G178" t="s">
        <v>13</v>
      </c>
      <c r="H178">
        <f>MONTH(Table1[[#This Row],[Date]])</f>
        <v>4</v>
      </c>
      <c r="I178" s="2">
        <f>WEEKDAY(Table1[[#This Row],[Date]])</f>
        <v>3</v>
      </c>
      <c r="J178">
        <f>Table1[[#This Row],[Credit]]-Table1[[#This Row],[Debit]]</f>
        <v>-173</v>
      </c>
    </row>
    <row r="179" spans="1:10" x14ac:dyDescent="0.3">
      <c r="A179" s="1">
        <v>44671</v>
      </c>
      <c r="B179" t="s">
        <v>75</v>
      </c>
      <c r="C179">
        <v>40.1</v>
      </c>
      <c r="E179" t="s">
        <v>26</v>
      </c>
      <c r="F179" t="s">
        <v>12</v>
      </c>
      <c r="G179" t="s">
        <v>13</v>
      </c>
      <c r="H179">
        <f>MONTH(Table1[[#This Row],[Date]])</f>
        <v>4</v>
      </c>
      <c r="I179" s="2">
        <f>WEEKDAY(Table1[[#This Row],[Date]])</f>
        <v>4</v>
      </c>
      <c r="J179">
        <f>Table1[[#This Row],[Credit]]-Table1[[#This Row],[Debit]]</f>
        <v>-40.1</v>
      </c>
    </row>
    <row r="180" spans="1:10" x14ac:dyDescent="0.3">
      <c r="A180" s="1">
        <v>44672</v>
      </c>
      <c r="B180" t="s">
        <v>76</v>
      </c>
      <c r="C180">
        <v>15.1</v>
      </c>
      <c r="E180" t="s">
        <v>26</v>
      </c>
      <c r="F180" t="s">
        <v>12</v>
      </c>
      <c r="G180" t="s">
        <v>13</v>
      </c>
      <c r="H180">
        <f>MONTH(Table1[[#This Row],[Date]])</f>
        <v>4</v>
      </c>
      <c r="I180" s="2">
        <f>WEEKDAY(Table1[[#This Row],[Date]])</f>
        <v>5</v>
      </c>
      <c r="J180">
        <f>Table1[[#This Row],[Credit]]-Table1[[#This Row],[Debit]]</f>
        <v>-15.1</v>
      </c>
    </row>
    <row r="181" spans="1:10" x14ac:dyDescent="0.3">
      <c r="A181" s="1">
        <v>44673</v>
      </c>
      <c r="B181" t="s">
        <v>32</v>
      </c>
      <c r="C181">
        <v>55</v>
      </c>
      <c r="E181" t="s">
        <v>33</v>
      </c>
      <c r="F181" t="s">
        <v>34</v>
      </c>
      <c r="G181" t="s">
        <v>13</v>
      </c>
      <c r="H181">
        <f>MONTH(Table1[[#This Row],[Date]])</f>
        <v>4</v>
      </c>
      <c r="I181" s="2">
        <f>WEEKDAY(Table1[[#This Row],[Date]])</f>
        <v>6</v>
      </c>
      <c r="J181">
        <f>Table1[[#This Row],[Credit]]-Table1[[#This Row],[Debit]]</f>
        <v>-55</v>
      </c>
    </row>
    <row r="182" spans="1:10" x14ac:dyDescent="0.3">
      <c r="A182" s="1">
        <v>44673</v>
      </c>
      <c r="B182" t="s">
        <v>37</v>
      </c>
      <c r="C182">
        <v>10</v>
      </c>
      <c r="E182" t="s">
        <v>129</v>
      </c>
      <c r="F182" t="s">
        <v>39</v>
      </c>
      <c r="G182" t="s">
        <v>13</v>
      </c>
      <c r="H182">
        <f>MONTH(Table1[[#This Row],[Date]])</f>
        <v>4</v>
      </c>
      <c r="I182" s="2">
        <f>WEEKDAY(Table1[[#This Row],[Date]])</f>
        <v>6</v>
      </c>
      <c r="J182">
        <f>Table1[[#This Row],[Credit]]-Table1[[#This Row],[Debit]]</f>
        <v>-10</v>
      </c>
    </row>
    <row r="183" spans="1:10" x14ac:dyDescent="0.3">
      <c r="A183" s="1">
        <v>44673</v>
      </c>
      <c r="B183" t="s">
        <v>19</v>
      </c>
      <c r="C183">
        <v>66</v>
      </c>
      <c r="E183" t="s">
        <v>35</v>
      </c>
      <c r="F183" t="s">
        <v>15</v>
      </c>
      <c r="G183" t="s">
        <v>13</v>
      </c>
      <c r="H183">
        <f>MONTH(Table1[[#This Row],[Date]])</f>
        <v>4</v>
      </c>
      <c r="I183" s="2">
        <f>WEEKDAY(Table1[[#This Row],[Date]])</f>
        <v>6</v>
      </c>
      <c r="J183">
        <f>Table1[[#This Row],[Credit]]-Table1[[#This Row],[Debit]]</f>
        <v>-66</v>
      </c>
    </row>
    <row r="184" spans="1:10" x14ac:dyDescent="0.3">
      <c r="A184" s="1">
        <v>44673</v>
      </c>
      <c r="B184" t="s">
        <v>10</v>
      </c>
      <c r="C184">
        <v>5</v>
      </c>
      <c r="E184" t="s">
        <v>11</v>
      </c>
      <c r="F184" t="s">
        <v>12</v>
      </c>
      <c r="G184" t="s">
        <v>13</v>
      </c>
      <c r="H184">
        <f>MONTH(Table1[[#This Row],[Date]])</f>
        <v>4</v>
      </c>
      <c r="I184" s="2">
        <f>WEEKDAY(Table1[[#This Row],[Date]])</f>
        <v>6</v>
      </c>
      <c r="J184">
        <f>Table1[[#This Row],[Credit]]-Table1[[#This Row],[Debit]]</f>
        <v>-5</v>
      </c>
    </row>
    <row r="185" spans="1:10" x14ac:dyDescent="0.3">
      <c r="A185" s="1">
        <v>44674</v>
      </c>
      <c r="B185" t="s">
        <v>10</v>
      </c>
      <c r="C185">
        <v>5</v>
      </c>
      <c r="E185" t="s">
        <v>11</v>
      </c>
      <c r="F185" t="s">
        <v>12</v>
      </c>
      <c r="G185" t="s">
        <v>13</v>
      </c>
      <c r="H185">
        <f>MONTH(Table1[[#This Row],[Date]])</f>
        <v>4</v>
      </c>
      <c r="I185" s="2">
        <f>WEEKDAY(Table1[[#This Row],[Date]])</f>
        <v>7</v>
      </c>
      <c r="J185">
        <f>Table1[[#This Row],[Credit]]-Table1[[#This Row],[Debit]]</f>
        <v>-5</v>
      </c>
    </row>
    <row r="186" spans="1:10" x14ac:dyDescent="0.3">
      <c r="A186" s="1">
        <v>44675</v>
      </c>
      <c r="B186" t="s">
        <v>10</v>
      </c>
      <c r="C186">
        <v>5</v>
      </c>
      <c r="E186" t="s">
        <v>11</v>
      </c>
      <c r="F186" t="s">
        <v>12</v>
      </c>
      <c r="G186" t="s">
        <v>13</v>
      </c>
      <c r="H186">
        <f>MONTH(Table1[[#This Row],[Date]])</f>
        <v>4</v>
      </c>
      <c r="I186" s="2">
        <f>WEEKDAY(Table1[[#This Row],[Date]])</f>
        <v>1</v>
      </c>
      <c r="J186">
        <f>Table1[[#This Row],[Credit]]-Table1[[#This Row],[Debit]]</f>
        <v>-5</v>
      </c>
    </row>
    <row r="187" spans="1:10" x14ac:dyDescent="0.3">
      <c r="A187" s="1">
        <v>44676</v>
      </c>
      <c r="B187" t="s">
        <v>10</v>
      </c>
      <c r="C187">
        <v>5</v>
      </c>
      <c r="E187" t="s">
        <v>11</v>
      </c>
      <c r="F187" t="s">
        <v>12</v>
      </c>
      <c r="G187" t="s">
        <v>13</v>
      </c>
      <c r="H187">
        <f>MONTH(Table1[[#This Row],[Date]])</f>
        <v>4</v>
      </c>
      <c r="I187" s="2">
        <f>WEEKDAY(Table1[[#This Row],[Date]])</f>
        <v>2</v>
      </c>
      <c r="J187">
        <f>Table1[[#This Row],[Credit]]-Table1[[#This Row],[Debit]]</f>
        <v>-5</v>
      </c>
    </row>
    <row r="188" spans="1:10" x14ac:dyDescent="0.3">
      <c r="A188" s="1">
        <v>44677</v>
      </c>
      <c r="B188" t="s">
        <v>10</v>
      </c>
      <c r="C188">
        <v>5</v>
      </c>
      <c r="E188" t="s">
        <v>11</v>
      </c>
      <c r="F188" t="s">
        <v>12</v>
      </c>
      <c r="G188" t="s">
        <v>13</v>
      </c>
      <c r="H188">
        <f>MONTH(Table1[[#This Row],[Date]])</f>
        <v>4</v>
      </c>
      <c r="I188" s="2">
        <f>WEEKDAY(Table1[[#This Row],[Date]])</f>
        <v>3</v>
      </c>
      <c r="J188">
        <f>Table1[[#This Row],[Credit]]-Table1[[#This Row],[Debit]]</f>
        <v>-5</v>
      </c>
    </row>
    <row r="189" spans="1:10" x14ac:dyDescent="0.3">
      <c r="A189" s="1">
        <v>44677</v>
      </c>
      <c r="B189" t="s">
        <v>53</v>
      </c>
      <c r="C189">
        <v>164.9</v>
      </c>
      <c r="E189" t="s">
        <v>16</v>
      </c>
      <c r="F189" t="s">
        <v>14</v>
      </c>
      <c r="G189" t="s">
        <v>13</v>
      </c>
      <c r="H189">
        <f>MONTH(Table1[[#This Row],[Date]])</f>
        <v>4</v>
      </c>
      <c r="I189" s="2">
        <f>WEEKDAY(Table1[[#This Row],[Date]])</f>
        <v>3</v>
      </c>
      <c r="J189">
        <f>Table1[[#This Row],[Credit]]-Table1[[#This Row],[Debit]]</f>
        <v>-164.9</v>
      </c>
    </row>
    <row r="190" spans="1:10" x14ac:dyDescent="0.3">
      <c r="A190" s="1">
        <v>44678</v>
      </c>
      <c r="B190" t="s">
        <v>56</v>
      </c>
      <c r="C190">
        <v>127.9</v>
      </c>
      <c r="E190" t="s">
        <v>24</v>
      </c>
      <c r="F190" t="s">
        <v>22</v>
      </c>
      <c r="G190" t="s">
        <v>13</v>
      </c>
      <c r="H190">
        <f>MONTH(Table1[[#This Row],[Date]])</f>
        <v>4</v>
      </c>
      <c r="I190" s="2">
        <f>WEEKDAY(Table1[[#This Row],[Date]])</f>
        <v>4</v>
      </c>
      <c r="J190">
        <f>Table1[[#This Row],[Credit]]-Table1[[#This Row],[Debit]]</f>
        <v>-127.9</v>
      </c>
    </row>
    <row r="191" spans="1:10" x14ac:dyDescent="0.3">
      <c r="A191" s="1">
        <v>44678</v>
      </c>
      <c r="B191" t="s">
        <v>41</v>
      </c>
      <c r="C191">
        <v>300</v>
      </c>
      <c r="E191" t="s">
        <v>21</v>
      </c>
      <c r="F191" t="s">
        <v>22</v>
      </c>
      <c r="G191" t="s">
        <v>13</v>
      </c>
      <c r="H191">
        <f>MONTH(Table1[[#This Row],[Date]])</f>
        <v>4</v>
      </c>
      <c r="I191" s="2">
        <f>WEEKDAY(Table1[[#This Row],[Date]])</f>
        <v>4</v>
      </c>
      <c r="J191">
        <f>Table1[[#This Row],[Credit]]-Table1[[#This Row],[Debit]]</f>
        <v>-300</v>
      </c>
    </row>
    <row r="192" spans="1:10" x14ac:dyDescent="0.3">
      <c r="A192" s="1">
        <v>44679</v>
      </c>
      <c r="B192" t="s">
        <v>77</v>
      </c>
      <c r="C192">
        <v>148.1</v>
      </c>
      <c r="E192" t="s">
        <v>24</v>
      </c>
      <c r="F192" t="s">
        <v>22</v>
      </c>
      <c r="G192" t="s">
        <v>13</v>
      </c>
      <c r="H192">
        <f>MONTH(Table1[[#This Row],[Date]])</f>
        <v>4</v>
      </c>
      <c r="I192" s="2">
        <f>WEEKDAY(Table1[[#This Row],[Date]])</f>
        <v>5</v>
      </c>
      <c r="J192">
        <f>Table1[[#This Row],[Credit]]-Table1[[#This Row],[Debit]]</f>
        <v>-148.1</v>
      </c>
    </row>
    <row r="193" spans="1:10" x14ac:dyDescent="0.3">
      <c r="A193" s="1">
        <v>44679</v>
      </c>
      <c r="B193" t="s">
        <v>48</v>
      </c>
      <c r="C193">
        <v>26.1</v>
      </c>
      <c r="E193" t="s">
        <v>27</v>
      </c>
      <c r="F193" t="s">
        <v>15</v>
      </c>
      <c r="G193" t="s">
        <v>13</v>
      </c>
      <c r="H193">
        <f>MONTH(Table1[[#This Row],[Date]])</f>
        <v>4</v>
      </c>
      <c r="I193" s="2">
        <f>WEEKDAY(Table1[[#This Row],[Date]])</f>
        <v>5</v>
      </c>
      <c r="J193">
        <f>Table1[[#This Row],[Credit]]-Table1[[#This Row],[Debit]]</f>
        <v>-26.1</v>
      </c>
    </row>
    <row r="194" spans="1:10" x14ac:dyDescent="0.3">
      <c r="A194" s="1">
        <v>44680</v>
      </c>
      <c r="B194" t="s">
        <v>78</v>
      </c>
      <c r="C194">
        <v>15</v>
      </c>
      <c r="E194" t="s">
        <v>26</v>
      </c>
      <c r="F194" t="s">
        <v>12</v>
      </c>
      <c r="G194" t="s">
        <v>13</v>
      </c>
      <c r="H194">
        <f>MONTH(Table1[[#This Row],[Date]])</f>
        <v>4</v>
      </c>
      <c r="I194" s="2">
        <f>WEEKDAY(Table1[[#This Row],[Date]])</f>
        <v>6</v>
      </c>
      <c r="J194">
        <f>Table1[[#This Row],[Credit]]-Table1[[#This Row],[Debit]]</f>
        <v>-15</v>
      </c>
    </row>
    <row r="195" spans="1:10" x14ac:dyDescent="0.3">
      <c r="A195" s="1">
        <v>44680</v>
      </c>
      <c r="B195" t="s">
        <v>10</v>
      </c>
      <c r="C195">
        <v>5</v>
      </c>
      <c r="E195" t="s">
        <v>11</v>
      </c>
      <c r="F195" t="s">
        <v>12</v>
      </c>
      <c r="G195" t="s">
        <v>13</v>
      </c>
      <c r="H195">
        <f>MONTH(Table1[[#This Row],[Date]])</f>
        <v>4</v>
      </c>
      <c r="I195" s="2">
        <f>WEEKDAY(Table1[[#This Row],[Date]])</f>
        <v>6</v>
      </c>
      <c r="J195">
        <f>Table1[[#This Row],[Credit]]-Table1[[#This Row],[Debit]]</f>
        <v>-5</v>
      </c>
    </row>
    <row r="196" spans="1:10" x14ac:dyDescent="0.3">
      <c r="A196" s="1">
        <v>44681</v>
      </c>
      <c r="B196" t="s">
        <v>10</v>
      </c>
      <c r="C196">
        <v>5</v>
      </c>
      <c r="E196" t="s">
        <v>11</v>
      </c>
      <c r="F196" t="s">
        <v>12</v>
      </c>
      <c r="G196" t="s">
        <v>13</v>
      </c>
      <c r="H196">
        <f>MONTH(Table1[[#This Row],[Date]])</f>
        <v>4</v>
      </c>
      <c r="I196" s="2">
        <f>WEEKDAY(Table1[[#This Row],[Date]])</f>
        <v>7</v>
      </c>
      <c r="J196">
        <f>Table1[[#This Row],[Credit]]-Table1[[#This Row],[Debit]]</f>
        <v>-5</v>
      </c>
    </row>
    <row r="197" spans="1:10" x14ac:dyDescent="0.3">
      <c r="A197" s="1">
        <v>44683</v>
      </c>
      <c r="B197" t="s">
        <v>10</v>
      </c>
      <c r="C197">
        <v>5</v>
      </c>
      <c r="E197" t="s">
        <v>11</v>
      </c>
      <c r="F197" t="s">
        <v>12</v>
      </c>
      <c r="G197" t="s">
        <v>13</v>
      </c>
      <c r="H197">
        <f>MONTH(Table1[[#This Row],[Date]])</f>
        <v>5</v>
      </c>
      <c r="I197" s="2">
        <f>WEEKDAY(Table1[[#This Row],[Date]])</f>
        <v>2</v>
      </c>
      <c r="J197">
        <f>Table1[[#This Row],[Credit]]-Table1[[#This Row],[Debit]]</f>
        <v>-5</v>
      </c>
    </row>
    <row r="198" spans="1:10" x14ac:dyDescent="0.3">
      <c r="A198" s="1">
        <v>44684</v>
      </c>
      <c r="B198" t="s">
        <v>7</v>
      </c>
      <c r="D198">
        <v>5000</v>
      </c>
      <c r="E198" t="s">
        <v>64</v>
      </c>
      <c r="F198" t="s">
        <v>8</v>
      </c>
      <c r="G198" t="s">
        <v>9</v>
      </c>
      <c r="H198">
        <f>MONTH(Table1[[#This Row],[Date]])</f>
        <v>5</v>
      </c>
      <c r="I198" s="2">
        <f>WEEKDAY(Table1[[#This Row],[Date]])</f>
        <v>3</v>
      </c>
      <c r="J198">
        <f>Table1[[#This Row],[Credit]]-Table1[[#This Row],[Debit]]</f>
        <v>5000</v>
      </c>
    </row>
    <row r="199" spans="1:10" x14ac:dyDescent="0.3">
      <c r="A199" s="1">
        <v>44684</v>
      </c>
      <c r="B199" t="s">
        <v>53</v>
      </c>
      <c r="C199">
        <v>875</v>
      </c>
      <c r="E199" t="s">
        <v>16</v>
      </c>
      <c r="F199" t="s">
        <v>14</v>
      </c>
      <c r="G199" t="s">
        <v>13</v>
      </c>
      <c r="H199">
        <f>MONTH(Table1[[#This Row],[Date]])</f>
        <v>5</v>
      </c>
      <c r="I199" s="2">
        <f>WEEKDAY(Table1[[#This Row],[Date]])</f>
        <v>3</v>
      </c>
      <c r="J199">
        <f>Table1[[#This Row],[Credit]]-Table1[[#This Row],[Debit]]</f>
        <v>-875</v>
      </c>
    </row>
    <row r="200" spans="1:10" x14ac:dyDescent="0.3">
      <c r="A200" s="1">
        <v>44684</v>
      </c>
      <c r="B200" t="s">
        <v>72</v>
      </c>
      <c r="C200">
        <v>150</v>
      </c>
      <c r="E200" t="s">
        <v>71</v>
      </c>
      <c r="F200" t="s">
        <v>90</v>
      </c>
      <c r="G200" t="s">
        <v>13</v>
      </c>
      <c r="H200">
        <f>MONTH(Table1[[#This Row],[Date]])</f>
        <v>5</v>
      </c>
      <c r="I200" s="2">
        <f>WEEKDAY(Table1[[#This Row],[Date]])</f>
        <v>3</v>
      </c>
      <c r="J200">
        <f>Table1[[#This Row],[Credit]]-Table1[[#This Row],[Debit]]</f>
        <v>-150</v>
      </c>
    </row>
    <row r="201" spans="1:10" x14ac:dyDescent="0.3">
      <c r="A201" s="1">
        <v>44684</v>
      </c>
      <c r="B201" t="s">
        <v>10</v>
      </c>
      <c r="C201">
        <v>5</v>
      </c>
      <c r="E201" t="s">
        <v>11</v>
      </c>
      <c r="F201" t="s">
        <v>12</v>
      </c>
      <c r="G201" t="s">
        <v>13</v>
      </c>
      <c r="H201">
        <f>MONTH(Table1[[#This Row],[Date]])</f>
        <v>5</v>
      </c>
      <c r="I201" s="2">
        <f>WEEKDAY(Table1[[#This Row],[Date]])</f>
        <v>3</v>
      </c>
      <c r="J201">
        <f>Table1[[#This Row],[Credit]]-Table1[[#This Row],[Debit]]</f>
        <v>-5</v>
      </c>
    </row>
    <row r="202" spans="1:10" x14ac:dyDescent="0.3">
      <c r="A202" s="1">
        <v>44685</v>
      </c>
      <c r="B202" t="s">
        <v>10</v>
      </c>
      <c r="C202">
        <v>5</v>
      </c>
      <c r="E202" t="s">
        <v>11</v>
      </c>
      <c r="F202" t="s">
        <v>12</v>
      </c>
      <c r="G202" t="s">
        <v>13</v>
      </c>
      <c r="H202">
        <f>MONTH(Table1[[#This Row],[Date]])</f>
        <v>5</v>
      </c>
      <c r="I202" s="2">
        <f>WEEKDAY(Table1[[#This Row],[Date]])</f>
        <v>4</v>
      </c>
      <c r="J202">
        <f>Table1[[#This Row],[Credit]]-Table1[[#This Row],[Debit]]</f>
        <v>-5</v>
      </c>
    </row>
    <row r="203" spans="1:10" x14ac:dyDescent="0.3">
      <c r="A203" s="1">
        <v>44686</v>
      </c>
      <c r="B203" t="s">
        <v>10</v>
      </c>
      <c r="C203">
        <v>5</v>
      </c>
      <c r="E203" t="s">
        <v>11</v>
      </c>
      <c r="F203" t="s">
        <v>12</v>
      </c>
      <c r="G203" t="s">
        <v>13</v>
      </c>
      <c r="H203">
        <f>MONTH(Table1[[#This Row],[Date]])</f>
        <v>5</v>
      </c>
      <c r="I203" s="2">
        <f>WEEKDAY(Table1[[#This Row],[Date]])</f>
        <v>5</v>
      </c>
      <c r="J203">
        <f>Table1[[#This Row],[Credit]]-Table1[[#This Row],[Debit]]</f>
        <v>-5</v>
      </c>
    </row>
    <row r="204" spans="1:10" x14ac:dyDescent="0.3">
      <c r="A204" s="1">
        <v>44687</v>
      </c>
      <c r="B204" t="s">
        <v>10</v>
      </c>
      <c r="C204">
        <v>5</v>
      </c>
      <c r="E204" t="s">
        <v>11</v>
      </c>
      <c r="F204" t="s">
        <v>12</v>
      </c>
      <c r="G204" t="s">
        <v>13</v>
      </c>
      <c r="H204">
        <f>MONTH(Table1[[#This Row],[Date]])</f>
        <v>5</v>
      </c>
      <c r="I204" s="2">
        <f>WEEKDAY(Table1[[#This Row],[Date]])</f>
        <v>6</v>
      </c>
      <c r="J204">
        <f>Table1[[#This Row],[Credit]]-Table1[[#This Row],[Debit]]</f>
        <v>-5</v>
      </c>
    </row>
    <row r="205" spans="1:10" x14ac:dyDescent="0.3">
      <c r="A205" s="1">
        <v>44687</v>
      </c>
      <c r="B205" t="s">
        <v>53</v>
      </c>
      <c r="C205">
        <v>170</v>
      </c>
      <c r="E205" t="s">
        <v>16</v>
      </c>
      <c r="F205" t="s">
        <v>14</v>
      </c>
      <c r="G205" t="s">
        <v>13</v>
      </c>
      <c r="H205">
        <f>MONTH(Table1[[#This Row],[Date]])</f>
        <v>5</v>
      </c>
      <c r="I205" s="2">
        <f>WEEKDAY(Table1[[#This Row],[Date]])</f>
        <v>6</v>
      </c>
      <c r="J205">
        <f>Table1[[#This Row],[Credit]]-Table1[[#This Row],[Debit]]</f>
        <v>-170</v>
      </c>
    </row>
    <row r="206" spans="1:10" x14ac:dyDescent="0.3">
      <c r="A206" s="1">
        <v>44690</v>
      </c>
      <c r="B206" t="s">
        <v>17</v>
      </c>
      <c r="C206">
        <v>54.1</v>
      </c>
      <c r="E206" t="s">
        <v>18</v>
      </c>
      <c r="F206" t="s">
        <v>14</v>
      </c>
      <c r="G206" t="s">
        <v>13</v>
      </c>
      <c r="H206">
        <f>MONTH(Table1[[#This Row],[Date]])</f>
        <v>5</v>
      </c>
      <c r="I206" s="2">
        <f>WEEKDAY(Table1[[#This Row],[Date]])</f>
        <v>2</v>
      </c>
      <c r="J206">
        <f>Table1[[#This Row],[Credit]]-Table1[[#This Row],[Debit]]</f>
        <v>-54.1</v>
      </c>
    </row>
    <row r="207" spans="1:10" x14ac:dyDescent="0.3">
      <c r="A207" s="1">
        <v>44690</v>
      </c>
      <c r="B207" t="s">
        <v>10</v>
      </c>
      <c r="C207">
        <v>5</v>
      </c>
      <c r="E207" t="s">
        <v>11</v>
      </c>
      <c r="F207" t="s">
        <v>12</v>
      </c>
      <c r="G207" t="s">
        <v>13</v>
      </c>
      <c r="H207">
        <f>MONTH(Table1[[#This Row],[Date]])</f>
        <v>5</v>
      </c>
      <c r="I207" s="2">
        <f>WEEKDAY(Table1[[#This Row],[Date]])</f>
        <v>2</v>
      </c>
      <c r="J207">
        <f>Table1[[#This Row],[Credit]]-Table1[[#This Row],[Debit]]</f>
        <v>-5</v>
      </c>
    </row>
    <row r="208" spans="1:10" x14ac:dyDescent="0.3">
      <c r="A208" s="1">
        <v>44691</v>
      </c>
      <c r="B208" t="s">
        <v>10</v>
      </c>
      <c r="C208">
        <v>5</v>
      </c>
      <c r="E208" t="s">
        <v>11</v>
      </c>
      <c r="F208" t="s">
        <v>12</v>
      </c>
      <c r="G208" t="s">
        <v>13</v>
      </c>
      <c r="H208">
        <f>MONTH(Table1[[#This Row],[Date]])</f>
        <v>5</v>
      </c>
      <c r="I208" s="2">
        <f>WEEKDAY(Table1[[#This Row],[Date]])</f>
        <v>3</v>
      </c>
      <c r="J208">
        <f>Table1[[#This Row],[Credit]]-Table1[[#This Row],[Debit]]</f>
        <v>-5</v>
      </c>
    </row>
    <row r="209" spans="1:10" x14ac:dyDescent="0.3">
      <c r="A209" s="1">
        <v>44692</v>
      </c>
      <c r="B209" t="s">
        <v>19</v>
      </c>
      <c r="C209">
        <v>81</v>
      </c>
      <c r="E209" t="s">
        <v>35</v>
      </c>
      <c r="F209" t="s">
        <v>15</v>
      </c>
      <c r="G209" t="s">
        <v>13</v>
      </c>
      <c r="H209">
        <f>MONTH(Table1[[#This Row],[Date]])</f>
        <v>5</v>
      </c>
      <c r="I209" s="2">
        <f>WEEKDAY(Table1[[#This Row],[Date]])</f>
        <v>4</v>
      </c>
      <c r="J209">
        <f>Table1[[#This Row],[Credit]]-Table1[[#This Row],[Debit]]</f>
        <v>-81</v>
      </c>
    </row>
    <row r="210" spans="1:10" x14ac:dyDescent="0.3">
      <c r="A210" s="1">
        <v>44692</v>
      </c>
      <c r="B210" t="s">
        <v>10</v>
      </c>
      <c r="C210">
        <v>5</v>
      </c>
      <c r="E210" t="s">
        <v>11</v>
      </c>
      <c r="F210" t="s">
        <v>12</v>
      </c>
      <c r="G210" t="s">
        <v>13</v>
      </c>
      <c r="H210">
        <f>MONTH(Table1[[#This Row],[Date]])</f>
        <v>5</v>
      </c>
      <c r="I210" s="2">
        <f>WEEKDAY(Table1[[#This Row],[Date]])</f>
        <v>4</v>
      </c>
      <c r="J210">
        <f>Table1[[#This Row],[Credit]]-Table1[[#This Row],[Debit]]</f>
        <v>-5</v>
      </c>
    </row>
    <row r="211" spans="1:10" x14ac:dyDescent="0.3">
      <c r="A211" s="1">
        <v>44693</v>
      </c>
      <c r="B211" t="s">
        <v>10</v>
      </c>
      <c r="C211">
        <v>5</v>
      </c>
      <c r="E211" t="s">
        <v>11</v>
      </c>
      <c r="F211" t="s">
        <v>12</v>
      </c>
      <c r="G211" t="s">
        <v>13</v>
      </c>
      <c r="H211">
        <f>MONTH(Table1[[#This Row],[Date]])</f>
        <v>5</v>
      </c>
      <c r="I211" s="2">
        <f>WEEKDAY(Table1[[#This Row],[Date]])</f>
        <v>5</v>
      </c>
      <c r="J211">
        <f>Table1[[#This Row],[Credit]]-Table1[[#This Row],[Debit]]</f>
        <v>-5</v>
      </c>
    </row>
    <row r="212" spans="1:10" x14ac:dyDescent="0.3">
      <c r="A212" s="1">
        <v>44694</v>
      </c>
      <c r="B212" t="s">
        <v>53</v>
      </c>
      <c r="C212">
        <v>139.1</v>
      </c>
      <c r="E212" t="s">
        <v>16</v>
      </c>
      <c r="F212" t="s">
        <v>14</v>
      </c>
      <c r="G212" t="s">
        <v>13</v>
      </c>
      <c r="H212">
        <f>MONTH(Table1[[#This Row],[Date]])</f>
        <v>5</v>
      </c>
      <c r="I212" s="2">
        <f>WEEKDAY(Table1[[#This Row],[Date]])</f>
        <v>6</v>
      </c>
      <c r="J212">
        <f>Table1[[#This Row],[Credit]]-Table1[[#This Row],[Debit]]</f>
        <v>-139.1</v>
      </c>
    </row>
    <row r="213" spans="1:10" x14ac:dyDescent="0.3">
      <c r="A213" s="1">
        <v>44694</v>
      </c>
      <c r="B213" t="s">
        <v>10</v>
      </c>
      <c r="C213">
        <v>5</v>
      </c>
      <c r="E213" t="s">
        <v>11</v>
      </c>
      <c r="F213" t="s">
        <v>12</v>
      </c>
      <c r="G213" t="s">
        <v>13</v>
      </c>
      <c r="H213">
        <f>MONTH(Table1[[#This Row],[Date]])</f>
        <v>5</v>
      </c>
      <c r="I213" s="2">
        <f>WEEKDAY(Table1[[#This Row],[Date]])</f>
        <v>6</v>
      </c>
      <c r="J213">
        <f>Table1[[#This Row],[Credit]]-Table1[[#This Row],[Debit]]</f>
        <v>-5</v>
      </c>
    </row>
    <row r="214" spans="1:10" x14ac:dyDescent="0.3">
      <c r="A214" s="1">
        <v>44695</v>
      </c>
      <c r="B214" t="s">
        <v>10</v>
      </c>
      <c r="C214">
        <v>5</v>
      </c>
      <c r="E214" t="s">
        <v>11</v>
      </c>
      <c r="F214" t="s">
        <v>12</v>
      </c>
      <c r="G214" t="s">
        <v>13</v>
      </c>
      <c r="H214">
        <f>MONTH(Table1[[#This Row],[Date]])</f>
        <v>5</v>
      </c>
      <c r="I214" s="2">
        <f>WEEKDAY(Table1[[#This Row],[Date]])</f>
        <v>7</v>
      </c>
      <c r="J214">
        <f>Table1[[#This Row],[Credit]]-Table1[[#This Row],[Debit]]</f>
        <v>-5</v>
      </c>
    </row>
    <row r="215" spans="1:10" x14ac:dyDescent="0.3">
      <c r="A215" s="1">
        <v>44695</v>
      </c>
      <c r="B215" t="s">
        <v>20</v>
      </c>
      <c r="C215">
        <v>43.9</v>
      </c>
      <c r="E215" t="s">
        <v>21</v>
      </c>
      <c r="F215" t="s">
        <v>22</v>
      </c>
      <c r="G215" t="s">
        <v>13</v>
      </c>
      <c r="H215">
        <f>MONTH(Table1[[#This Row],[Date]])</f>
        <v>5</v>
      </c>
      <c r="I215" s="2">
        <f>WEEKDAY(Table1[[#This Row],[Date]])</f>
        <v>7</v>
      </c>
      <c r="J215">
        <f>Table1[[#This Row],[Credit]]-Table1[[#This Row],[Debit]]</f>
        <v>-43.9</v>
      </c>
    </row>
    <row r="216" spans="1:10" x14ac:dyDescent="0.3">
      <c r="A216" s="1">
        <v>44695</v>
      </c>
      <c r="B216" t="s">
        <v>79</v>
      </c>
      <c r="C216">
        <v>101.80000000000001</v>
      </c>
      <c r="E216" t="s">
        <v>24</v>
      </c>
      <c r="F216" t="s">
        <v>22</v>
      </c>
      <c r="G216" t="s">
        <v>13</v>
      </c>
      <c r="H216">
        <f>MONTH(Table1[[#This Row],[Date]])</f>
        <v>5</v>
      </c>
      <c r="I216" s="2">
        <f>WEEKDAY(Table1[[#This Row],[Date]])</f>
        <v>7</v>
      </c>
      <c r="J216">
        <f>Table1[[#This Row],[Credit]]-Table1[[#This Row],[Debit]]</f>
        <v>-101.80000000000001</v>
      </c>
    </row>
    <row r="217" spans="1:10" x14ac:dyDescent="0.3">
      <c r="A217" s="1">
        <v>44695</v>
      </c>
      <c r="B217" t="s">
        <v>25</v>
      </c>
      <c r="C217">
        <v>55.9</v>
      </c>
      <c r="E217" t="s">
        <v>26</v>
      </c>
      <c r="F217" t="s">
        <v>12</v>
      </c>
      <c r="G217" t="s">
        <v>13</v>
      </c>
      <c r="H217">
        <f>MONTH(Table1[[#This Row],[Date]])</f>
        <v>5</v>
      </c>
      <c r="I217" s="2">
        <f>WEEKDAY(Table1[[#This Row],[Date]])</f>
        <v>7</v>
      </c>
      <c r="J217">
        <f>Table1[[#This Row],[Credit]]-Table1[[#This Row],[Debit]]</f>
        <v>-55.9</v>
      </c>
    </row>
    <row r="218" spans="1:10" x14ac:dyDescent="0.3">
      <c r="A218" s="1">
        <v>44696</v>
      </c>
      <c r="B218" t="s">
        <v>48</v>
      </c>
      <c r="C218">
        <v>32</v>
      </c>
      <c r="E218" t="s">
        <v>27</v>
      </c>
      <c r="F218" t="s">
        <v>15</v>
      </c>
      <c r="G218" t="s">
        <v>13</v>
      </c>
      <c r="H218">
        <f>MONTH(Table1[[#This Row],[Date]])</f>
        <v>5</v>
      </c>
      <c r="I218" s="2">
        <f>WEEKDAY(Table1[[#This Row],[Date]])</f>
        <v>1</v>
      </c>
      <c r="J218">
        <f>Table1[[#This Row],[Credit]]-Table1[[#This Row],[Debit]]</f>
        <v>-32</v>
      </c>
    </row>
    <row r="219" spans="1:10" x14ac:dyDescent="0.3">
      <c r="A219" s="1">
        <v>44697</v>
      </c>
      <c r="B219" t="s">
        <v>9</v>
      </c>
      <c r="D219">
        <v>1000</v>
      </c>
      <c r="E219" t="s">
        <v>57</v>
      </c>
      <c r="F219" t="s">
        <v>28</v>
      </c>
      <c r="G219" t="s">
        <v>9</v>
      </c>
      <c r="H219">
        <f>MONTH(Table1[[#This Row],[Date]])</f>
        <v>5</v>
      </c>
      <c r="I219" s="2">
        <f>WEEKDAY(Table1[[#This Row],[Date]])</f>
        <v>2</v>
      </c>
      <c r="J219">
        <f>Table1[[#This Row],[Credit]]-Table1[[#This Row],[Debit]]</f>
        <v>1000</v>
      </c>
    </row>
    <row r="220" spans="1:10" x14ac:dyDescent="0.3">
      <c r="A220" s="1">
        <v>44697</v>
      </c>
      <c r="B220" t="s">
        <v>10</v>
      </c>
      <c r="C220">
        <v>5</v>
      </c>
      <c r="E220" t="s">
        <v>11</v>
      </c>
      <c r="F220" t="s">
        <v>12</v>
      </c>
      <c r="G220" t="s">
        <v>13</v>
      </c>
      <c r="H220">
        <f>MONTH(Table1[[#This Row],[Date]])</f>
        <v>5</v>
      </c>
      <c r="I220" s="2">
        <f>WEEKDAY(Table1[[#This Row],[Date]])</f>
        <v>2</v>
      </c>
      <c r="J220">
        <f>Table1[[#This Row],[Credit]]-Table1[[#This Row],[Debit]]</f>
        <v>-5</v>
      </c>
    </row>
    <row r="221" spans="1:10" x14ac:dyDescent="0.3">
      <c r="A221" s="1">
        <v>44698</v>
      </c>
      <c r="B221" t="s">
        <v>10</v>
      </c>
      <c r="C221">
        <v>5</v>
      </c>
      <c r="E221" t="s">
        <v>11</v>
      </c>
      <c r="F221" t="s">
        <v>12</v>
      </c>
      <c r="G221" t="s">
        <v>13</v>
      </c>
      <c r="H221">
        <f>MONTH(Table1[[#This Row],[Date]])</f>
        <v>5</v>
      </c>
      <c r="I221" s="2">
        <f>WEEKDAY(Table1[[#This Row],[Date]])</f>
        <v>3</v>
      </c>
      <c r="J221">
        <f>Table1[[#This Row],[Credit]]-Table1[[#This Row],[Debit]]</f>
        <v>-5</v>
      </c>
    </row>
    <row r="222" spans="1:10" x14ac:dyDescent="0.3">
      <c r="A222" s="1">
        <v>44698</v>
      </c>
      <c r="B222" t="s">
        <v>37</v>
      </c>
      <c r="C222">
        <v>75</v>
      </c>
      <c r="E222" t="s">
        <v>38</v>
      </c>
      <c r="F222" t="s">
        <v>39</v>
      </c>
      <c r="G222" t="s">
        <v>13</v>
      </c>
      <c r="H222">
        <f>MONTH(Table1[[#This Row],[Date]])</f>
        <v>5</v>
      </c>
      <c r="I222" s="2">
        <f>WEEKDAY(Table1[[#This Row],[Date]])</f>
        <v>3</v>
      </c>
      <c r="J222">
        <f>Table1[[#This Row],[Credit]]-Table1[[#This Row],[Debit]]</f>
        <v>-75</v>
      </c>
    </row>
    <row r="223" spans="1:10" x14ac:dyDescent="0.3">
      <c r="A223" s="1">
        <v>44698</v>
      </c>
      <c r="B223" t="s">
        <v>29</v>
      </c>
      <c r="C223">
        <v>40</v>
      </c>
      <c r="E223" t="s">
        <v>29</v>
      </c>
      <c r="F223" t="s">
        <v>14</v>
      </c>
      <c r="G223" t="s">
        <v>13</v>
      </c>
      <c r="H223">
        <f>MONTH(Table1[[#This Row],[Date]])</f>
        <v>5</v>
      </c>
      <c r="I223" s="2">
        <f>WEEKDAY(Table1[[#This Row],[Date]])</f>
        <v>3</v>
      </c>
      <c r="J223">
        <f>Table1[[#This Row],[Credit]]-Table1[[#This Row],[Debit]]</f>
        <v>-40</v>
      </c>
    </row>
    <row r="224" spans="1:10" x14ac:dyDescent="0.3">
      <c r="A224" s="1">
        <v>44699</v>
      </c>
      <c r="B224" t="s">
        <v>50</v>
      </c>
      <c r="C224">
        <v>49</v>
      </c>
      <c r="E224" t="s">
        <v>30</v>
      </c>
      <c r="F224" t="s">
        <v>22</v>
      </c>
      <c r="G224" t="s">
        <v>13</v>
      </c>
      <c r="H224">
        <f>MONTH(Table1[[#This Row],[Date]])</f>
        <v>5</v>
      </c>
      <c r="I224" s="2">
        <f>WEEKDAY(Table1[[#This Row],[Date]])</f>
        <v>4</v>
      </c>
      <c r="J224">
        <f>Table1[[#This Row],[Credit]]-Table1[[#This Row],[Debit]]</f>
        <v>-49</v>
      </c>
    </row>
    <row r="225" spans="1:10" x14ac:dyDescent="0.3">
      <c r="A225" s="1">
        <v>44699</v>
      </c>
      <c r="B225" t="s">
        <v>31</v>
      </c>
      <c r="C225">
        <v>35</v>
      </c>
      <c r="E225" t="s">
        <v>21</v>
      </c>
      <c r="F225" t="s">
        <v>22</v>
      </c>
      <c r="G225" t="s">
        <v>13</v>
      </c>
      <c r="H225">
        <f>MONTH(Table1[[#This Row],[Date]])</f>
        <v>5</v>
      </c>
      <c r="I225" s="2">
        <f>WEEKDAY(Table1[[#This Row],[Date]])</f>
        <v>4</v>
      </c>
      <c r="J225">
        <f>Table1[[#This Row],[Credit]]-Table1[[#This Row],[Debit]]</f>
        <v>-35</v>
      </c>
    </row>
    <row r="226" spans="1:10" x14ac:dyDescent="0.3">
      <c r="A226" s="1">
        <v>44699</v>
      </c>
      <c r="B226" t="s">
        <v>10</v>
      </c>
      <c r="C226">
        <v>5</v>
      </c>
      <c r="E226" t="s">
        <v>11</v>
      </c>
      <c r="F226" t="s">
        <v>12</v>
      </c>
      <c r="G226" t="s">
        <v>13</v>
      </c>
      <c r="H226">
        <f>MONTH(Table1[[#This Row],[Date]])</f>
        <v>5</v>
      </c>
      <c r="I226" s="2">
        <f>WEEKDAY(Table1[[#This Row],[Date]])</f>
        <v>4</v>
      </c>
      <c r="J226">
        <f>Table1[[#This Row],[Credit]]-Table1[[#This Row],[Debit]]</f>
        <v>-5</v>
      </c>
    </row>
    <row r="227" spans="1:10" x14ac:dyDescent="0.3">
      <c r="A227" s="1">
        <v>44700</v>
      </c>
      <c r="B227" t="s">
        <v>10</v>
      </c>
      <c r="C227">
        <v>5</v>
      </c>
      <c r="E227" t="s">
        <v>11</v>
      </c>
      <c r="F227" t="s">
        <v>12</v>
      </c>
      <c r="G227" t="s">
        <v>13</v>
      </c>
      <c r="H227">
        <f>MONTH(Table1[[#This Row],[Date]])</f>
        <v>5</v>
      </c>
      <c r="I227" s="2">
        <f>WEEKDAY(Table1[[#This Row],[Date]])</f>
        <v>5</v>
      </c>
      <c r="J227">
        <f>Table1[[#This Row],[Credit]]-Table1[[#This Row],[Debit]]</f>
        <v>-5</v>
      </c>
    </row>
    <row r="228" spans="1:10" x14ac:dyDescent="0.3">
      <c r="A228" s="1">
        <v>44701</v>
      </c>
      <c r="B228" t="s">
        <v>10</v>
      </c>
      <c r="C228">
        <v>5</v>
      </c>
      <c r="E228" t="s">
        <v>11</v>
      </c>
      <c r="F228" t="s">
        <v>12</v>
      </c>
      <c r="G228" t="s">
        <v>13</v>
      </c>
      <c r="H228">
        <f>MONTH(Table1[[#This Row],[Date]])</f>
        <v>5</v>
      </c>
      <c r="I228" s="2">
        <f>WEEKDAY(Table1[[#This Row],[Date]])</f>
        <v>6</v>
      </c>
      <c r="J228">
        <f>Table1[[#This Row],[Credit]]-Table1[[#This Row],[Debit]]</f>
        <v>-5</v>
      </c>
    </row>
    <row r="229" spans="1:10" x14ac:dyDescent="0.3">
      <c r="A229" s="1">
        <v>44701</v>
      </c>
      <c r="B229" t="s">
        <v>53</v>
      </c>
      <c r="C229">
        <v>174</v>
      </c>
      <c r="E229" t="s">
        <v>16</v>
      </c>
      <c r="F229" t="s">
        <v>14</v>
      </c>
      <c r="G229" t="s">
        <v>13</v>
      </c>
      <c r="H229">
        <f>MONTH(Table1[[#This Row],[Date]])</f>
        <v>5</v>
      </c>
      <c r="I229" s="2">
        <f>WEEKDAY(Table1[[#This Row],[Date]])</f>
        <v>6</v>
      </c>
      <c r="J229">
        <f>Table1[[#This Row],[Credit]]-Table1[[#This Row],[Debit]]</f>
        <v>-174</v>
      </c>
    </row>
    <row r="230" spans="1:10" x14ac:dyDescent="0.3">
      <c r="A230" s="1">
        <v>44702</v>
      </c>
      <c r="B230" t="s">
        <v>80</v>
      </c>
      <c r="C230">
        <v>41.1</v>
      </c>
      <c r="E230" t="s">
        <v>26</v>
      </c>
      <c r="F230" t="s">
        <v>12</v>
      </c>
      <c r="G230" t="s">
        <v>13</v>
      </c>
      <c r="H230">
        <f>MONTH(Table1[[#This Row],[Date]])</f>
        <v>5</v>
      </c>
      <c r="I230" s="2">
        <f>WEEKDAY(Table1[[#This Row],[Date]])</f>
        <v>7</v>
      </c>
      <c r="J230">
        <f>Table1[[#This Row],[Credit]]-Table1[[#This Row],[Debit]]</f>
        <v>-41.1</v>
      </c>
    </row>
    <row r="231" spans="1:10" x14ac:dyDescent="0.3">
      <c r="A231" s="1">
        <v>44703</v>
      </c>
      <c r="B231" t="s">
        <v>81</v>
      </c>
      <c r="C231">
        <v>16.2</v>
      </c>
      <c r="E231" t="s">
        <v>26</v>
      </c>
      <c r="F231" t="s">
        <v>12</v>
      </c>
      <c r="G231" t="s">
        <v>13</v>
      </c>
      <c r="H231">
        <f>MONTH(Table1[[#This Row],[Date]])</f>
        <v>5</v>
      </c>
      <c r="I231" s="2">
        <f>WEEKDAY(Table1[[#This Row],[Date]])</f>
        <v>1</v>
      </c>
      <c r="J231">
        <f>Table1[[#This Row],[Credit]]-Table1[[#This Row],[Debit]]</f>
        <v>-16.2</v>
      </c>
    </row>
    <row r="232" spans="1:10" x14ac:dyDescent="0.3">
      <c r="A232" s="1">
        <v>44704</v>
      </c>
      <c r="B232" t="s">
        <v>32</v>
      </c>
      <c r="C232">
        <v>55</v>
      </c>
      <c r="E232" t="s">
        <v>33</v>
      </c>
      <c r="F232" t="s">
        <v>34</v>
      </c>
      <c r="G232" t="s">
        <v>13</v>
      </c>
      <c r="H232">
        <f>MONTH(Table1[[#This Row],[Date]])</f>
        <v>5</v>
      </c>
      <c r="I232" s="2">
        <f>WEEKDAY(Table1[[#This Row],[Date]])</f>
        <v>2</v>
      </c>
      <c r="J232">
        <f>Table1[[#This Row],[Credit]]-Table1[[#This Row],[Debit]]</f>
        <v>-55</v>
      </c>
    </row>
    <row r="233" spans="1:10" x14ac:dyDescent="0.3">
      <c r="A233" s="1">
        <v>44704</v>
      </c>
      <c r="B233" t="s">
        <v>19</v>
      </c>
      <c r="C233">
        <v>67</v>
      </c>
      <c r="E233" t="s">
        <v>35</v>
      </c>
      <c r="F233" t="s">
        <v>15</v>
      </c>
      <c r="G233" t="s">
        <v>13</v>
      </c>
      <c r="H233">
        <f>MONTH(Table1[[#This Row],[Date]])</f>
        <v>5</v>
      </c>
      <c r="I233" s="2">
        <f>WEEKDAY(Table1[[#This Row],[Date]])</f>
        <v>2</v>
      </c>
      <c r="J233">
        <f>Table1[[#This Row],[Credit]]-Table1[[#This Row],[Debit]]</f>
        <v>-67</v>
      </c>
    </row>
    <row r="234" spans="1:10" x14ac:dyDescent="0.3">
      <c r="A234" s="1">
        <v>44704</v>
      </c>
      <c r="B234" t="s">
        <v>10</v>
      </c>
      <c r="C234">
        <v>5</v>
      </c>
      <c r="E234" t="s">
        <v>11</v>
      </c>
      <c r="F234" t="s">
        <v>12</v>
      </c>
      <c r="G234" t="s">
        <v>13</v>
      </c>
      <c r="H234">
        <f>MONTH(Table1[[#This Row],[Date]])</f>
        <v>5</v>
      </c>
      <c r="I234" s="2">
        <f>WEEKDAY(Table1[[#This Row],[Date]])</f>
        <v>2</v>
      </c>
      <c r="J234">
        <f>Table1[[#This Row],[Credit]]-Table1[[#This Row],[Debit]]</f>
        <v>-5</v>
      </c>
    </row>
    <row r="235" spans="1:10" x14ac:dyDescent="0.3">
      <c r="A235" s="1">
        <v>44705</v>
      </c>
      <c r="B235" t="s">
        <v>10</v>
      </c>
      <c r="C235">
        <v>5</v>
      </c>
      <c r="E235" t="s">
        <v>11</v>
      </c>
      <c r="F235" t="s">
        <v>12</v>
      </c>
      <c r="G235" t="s">
        <v>13</v>
      </c>
      <c r="H235">
        <f>MONTH(Table1[[#This Row],[Date]])</f>
        <v>5</v>
      </c>
      <c r="I235" s="2">
        <f>WEEKDAY(Table1[[#This Row],[Date]])</f>
        <v>3</v>
      </c>
      <c r="J235">
        <f>Table1[[#This Row],[Credit]]-Table1[[#This Row],[Debit]]</f>
        <v>-5</v>
      </c>
    </row>
    <row r="236" spans="1:10" x14ac:dyDescent="0.3">
      <c r="A236" s="1">
        <v>44706</v>
      </c>
      <c r="B236" t="s">
        <v>10</v>
      </c>
      <c r="C236">
        <v>5</v>
      </c>
      <c r="E236" t="s">
        <v>11</v>
      </c>
      <c r="F236" t="s">
        <v>12</v>
      </c>
      <c r="G236" t="s">
        <v>13</v>
      </c>
      <c r="H236">
        <f>MONTH(Table1[[#This Row],[Date]])</f>
        <v>5</v>
      </c>
      <c r="I236" s="2">
        <f>WEEKDAY(Table1[[#This Row],[Date]])</f>
        <v>4</v>
      </c>
      <c r="J236">
        <f>Table1[[#This Row],[Credit]]-Table1[[#This Row],[Debit]]</f>
        <v>-5</v>
      </c>
    </row>
    <row r="237" spans="1:10" x14ac:dyDescent="0.3">
      <c r="A237" s="1">
        <v>44707</v>
      </c>
      <c r="B237" t="s">
        <v>10</v>
      </c>
      <c r="C237">
        <v>5</v>
      </c>
      <c r="E237" t="s">
        <v>11</v>
      </c>
      <c r="F237" t="s">
        <v>12</v>
      </c>
      <c r="G237" t="s">
        <v>13</v>
      </c>
      <c r="H237">
        <f>MONTH(Table1[[#This Row],[Date]])</f>
        <v>5</v>
      </c>
      <c r="I237" s="2">
        <f>WEEKDAY(Table1[[#This Row],[Date]])</f>
        <v>5</v>
      </c>
      <c r="J237">
        <f>Table1[[#This Row],[Credit]]-Table1[[#This Row],[Debit]]</f>
        <v>-5</v>
      </c>
    </row>
    <row r="238" spans="1:10" x14ac:dyDescent="0.3">
      <c r="A238" s="1">
        <v>44708</v>
      </c>
      <c r="B238" t="s">
        <v>10</v>
      </c>
      <c r="C238">
        <v>5</v>
      </c>
      <c r="E238" t="s">
        <v>11</v>
      </c>
      <c r="F238" t="s">
        <v>12</v>
      </c>
      <c r="G238" t="s">
        <v>13</v>
      </c>
      <c r="H238">
        <f>MONTH(Table1[[#This Row],[Date]])</f>
        <v>5</v>
      </c>
      <c r="I238" s="2">
        <f>WEEKDAY(Table1[[#This Row],[Date]])</f>
        <v>6</v>
      </c>
      <c r="J238">
        <f>Table1[[#This Row],[Credit]]-Table1[[#This Row],[Debit]]</f>
        <v>-5</v>
      </c>
    </row>
    <row r="239" spans="1:10" x14ac:dyDescent="0.3">
      <c r="A239" s="1">
        <v>44708</v>
      </c>
      <c r="B239" t="s">
        <v>53</v>
      </c>
      <c r="C239">
        <v>165.8</v>
      </c>
      <c r="E239" t="s">
        <v>16</v>
      </c>
      <c r="F239" t="s">
        <v>14</v>
      </c>
      <c r="G239" t="s">
        <v>13</v>
      </c>
      <c r="H239">
        <f>MONTH(Table1[[#This Row],[Date]])</f>
        <v>5</v>
      </c>
      <c r="I239" s="2">
        <f>WEEKDAY(Table1[[#This Row],[Date]])</f>
        <v>6</v>
      </c>
      <c r="J239">
        <f>Table1[[#This Row],[Credit]]-Table1[[#This Row],[Debit]]</f>
        <v>-165.8</v>
      </c>
    </row>
    <row r="240" spans="1:10" x14ac:dyDescent="0.3">
      <c r="A240" s="1">
        <v>44709</v>
      </c>
      <c r="B240" t="s">
        <v>56</v>
      </c>
      <c r="C240">
        <v>128.80000000000001</v>
      </c>
      <c r="E240" t="s">
        <v>24</v>
      </c>
      <c r="F240" t="s">
        <v>22</v>
      </c>
      <c r="G240" t="s">
        <v>13</v>
      </c>
      <c r="H240">
        <f>MONTH(Table1[[#This Row],[Date]])</f>
        <v>5</v>
      </c>
      <c r="I240" s="2">
        <f>WEEKDAY(Table1[[#This Row],[Date]])</f>
        <v>7</v>
      </c>
      <c r="J240">
        <f>Table1[[#This Row],[Credit]]-Table1[[#This Row],[Debit]]</f>
        <v>-128.80000000000001</v>
      </c>
    </row>
    <row r="241" spans="1:10" x14ac:dyDescent="0.3">
      <c r="A241" s="1">
        <v>44709</v>
      </c>
      <c r="B241" t="s">
        <v>42</v>
      </c>
      <c r="C241">
        <v>235</v>
      </c>
      <c r="E241" t="s">
        <v>43</v>
      </c>
      <c r="F241" t="s">
        <v>22</v>
      </c>
      <c r="G241" t="s">
        <v>13</v>
      </c>
      <c r="H241">
        <f>MONTH(Table1[[#This Row],[Date]])</f>
        <v>5</v>
      </c>
      <c r="I241" s="2">
        <f>WEEKDAY(Table1[[#This Row],[Date]])</f>
        <v>7</v>
      </c>
      <c r="J241">
        <f>Table1[[#This Row],[Credit]]-Table1[[#This Row],[Debit]]</f>
        <v>-235</v>
      </c>
    </row>
    <row r="242" spans="1:10" x14ac:dyDescent="0.3">
      <c r="A242" s="1">
        <v>44710</v>
      </c>
      <c r="B242" t="s">
        <v>23</v>
      </c>
      <c r="C242">
        <v>149.19999999999999</v>
      </c>
      <c r="E242" t="s">
        <v>24</v>
      </c>
      <c r="F242" t="s">
        <v>22</v>
      </c>
      <c r="G242" t="s">
        <v>13</v>
      </c>
      <c r="H242">
        <f>MONTH(Table1[[#This Row],[Date]])</f>
        <v>5</v>
      </c>
      <c r="I242" s="2">
        <f>WEEKDAY(Table1[[#This Row],[Date]])</f>
        <v>1</v>
      </c>
      <c r="J242">
        <f>Table1[[#This Row],[Credit]]-Table1[[#This Row],[Debit]]</f>
        <v>-149.19999999999999</v>
      </c>
    </row>
    <row r="243" spans="1:10" x14ac:dyDescent="0.3">
      <c r="A243" s="1">
        <v>44710</v>
      </c>
      <c r="B243" t="s">
        <v>48</v>
      </c>
      <c r="C243">
        <v>27.200000000000003</v>
      </c>
      <c r="E243" t="s">
        <v>27</v>
      </c>
      <c r="F243" t="s">
        <v>15</v>
      </c>
      <c r="G243" t="s">
        <v>13</v>
      </c>
      <c r="H243">
        <f>MONTH(Table1[[#This Row],[Date]])</f>
        <v>5</v>
      </c>
      <c r="I243" s="2">
        <f>WEEKDAY(Table1[[#This Row],[Date]])</f>
        <v>1</v>
      </c>
      <c r="J243">
        <f>Table1[[#This Row],[Credit]]-Table1[[#This Row],[Debit]]</f>
        <v>-27.200000000000003</v>
      </c>
    </row>
    <row r="244" spans="1:10" x14ac:dyDescent="0.3">
      <c r="A244" s="1">
        <v>44712</v>
      </c>
      <c r="B244" t="s">
        <v>40</v>
      </c>
      <c r="C244">
        <v>15</v>
      </c>
      <c r="E244" t="s">
        <v>26</v>
      </c>
      <c r="F244" t="s">
        <v>12</v>
      </c>
      <c r="G244" t="s">
        <v>13</v>
      </c>
      <c r="H244">
        <f>MONTH(Table1[[#This Row],[Date]])</f>
        <v>5</v>
      </c>
      <c r="I244" s="2">
        <f>WEEKDAY(Table1[[#This Row],[Date]])</f>
        <v>3</v>
      </c>
      <c r="J244">
        <f>Table1[[#This Row],[Credit]]-Table1[[#This Row],[Debit]]</f>
        <v>-15</v>
      </c>
    </row>
    <row r="245" spans="1:10" x14ac:dyDescent="0.3">
      <c r="A245" s="1">
        <v>44711</v>
      </c>
      <c r="B245" t="s">
        <v>10</v>
      </c>
      <c r="C245">
        <v>5</v>
      </c>
      <c r="E245" t="s">
        <v>11</v>
      </c>
      <c r="F245" t="s">
        <v>12</v>
      </c>
      <c r="G245" t="s">
        <v>13</v>
      </c>
      <c r="H245">
        <f>MONTH(Table1[[#This Row],[Date]])</f>
        <v>5</v>
      </c>
      <c r="I245" s="2">
        <f>WEEKDAY(Table1[[#This Row],[Date]])</f>
        <v>2</v>
      </c>
      <c r="J245">
        <f>Table1[[#This Row],[Credit]]-Table1[[#This Row],[Debit]]</f>
        <v>-5</v>
      </c>
    </row>
    <row r="246" spans="1:10" x14ac:dyDescent="0.3">
      <c r="A246" s="1">
        <v>44712</v>
      </c>
      <c r="B246" t="s">
        <v>10</v>
      </c>
      <c r="C246">
        <v>5</v>
      </c>
      <c r="E246" t="s">
        <v>11</v>
      </c>
      <c r="F246" t="s">
        <v>12</v>
      </c>
      <c r="G246" t="s">
        <v>13</v>
      </c>
      <c r="H246">
        <f>MONTH(Table1[[#This Row],[Date]])</f>
        <v>5</v>
      </c>
      <c r="I246" s="2">
        <f>WEEKDAY(Table1[[#This Row],[Date]])</f>
        <v>3</v>
      </c>
      <c r="J246">
        <f>Table1[[#This Row],[Credit]]-Table1[[#This Row],[Debit]]</f>
        <v>-5</v>
      </c>
    </row>
    <row r="247" spans="1:10" x14ac:dyDescent="0.3">
      <c r="A247" s="1">
        <v>44713</v>
      </c>
      <c r="B247" t="s">
        <v>7</v>
      </c>
      <c r="D247">
        <v>5000</v>
      </c>
      <c r="E247" t="s">
        <v>64</v>
      </c>
      <c r="F247" t="s">
        <v>8</v>
      </c>
      <c r="G247" t="s">
        <v>9</v>
      </c>
      <c r="H247">
        <f>MONTH(Table1[[#This Row],[Date]])</f>
        <v>6</v>
      </c>
      <c r="I247" s="2">
        <f>WEEKDAY(Table1[[#This Row],[Date]])</f>
        <v>4</v>
      </c>
      <c r="J247">
        <f>Table1[[#This Row],[Credit]]-Table1[[#This Row],[Debit]]</f>
        <v>5000</v>
      </c>
    </row>
    <row r="248" spans="1:10" x14ac:dyDescent="0.3">
      <c r="A248" s="1">
        <v>44715</v>
      </c>
      <c r="B248" t="s">
        <v>10</v>
      </c>
      <c r="C248">
        <v>5</v>
      </c>
      <c r="E248" t="s">
        <v>11</v>
      </c>
      <c r="F248" t="s">
        <v>12</v>
      </c>
      <c r="G248" t="s">
        <v>13</v>
      </c>
      <c r="H248">
        <f>MONTH(Table1[[#This Row],[Date]])</f>
        <v>6</v>
      </c>
      <c r="I248" s="2">
        <f>WEEKDAY(Table1[[#This Row],[Date]])</f>
        <v>6</v>
      </c>
      <c r="J248">
        <f>Table1[[#This Row],[Credit]]-Table1[[#This Row],[Debit]]</f>
        <v>-5</v>
      </c>
    </row>
    <row r="249" spans="1:10" x14ac:dyDescent="0.3">
      <c r="A249" s="1">
        <v>44715</v>
      </c>
      <c r="B249" t="s">
        <v>53</v>
      </c>
      <c r="C249">
        <v>650</v>
      </c>
      <c r="E249" t="s">
        <v>16</v>
      </c>
      <c r="F249" t="s">
        <v>14</v>
      </c>
      <c r="G249" t="s">
        <v>13</v>
      </c>
      <c r="H249">
        <f>MONTH(Table1[[#This Row],[Date]])</f>
        <v>6</v>
      </c>
      <c r="I249" s="2">
        <f>WEEKDAY(Table1[[#This Row],[Date]])</f>
        <v>6</v>
      </c>
      <c r="J249">
        <f>Table1[[#This Row],[Credit]]-Table1[[#This Row],[Debit]]</f>
        <v>-650</v>
      </c>
    </row>
    <row r="250" spans="1:10" x14ac:dyDescent="0.3">
      <c r="A250" s="1">
        <v>44715</v>
      </c>
      <c r="B250" t="s">
        <v>72</v>
      </c>
      <c r="C250">
        <v>150</v>
      </c>
      <c r="E250" t="s">
        <v>71</v>
      </c>
      <c r="F250" t="s">
        <v>90</v>
      </c>
      <c r="G250" t="s">
        <v>13</v>
      </c>
      <c r="H250">
        <f>MONTH(Table1[[#This Row],[Date]])</f>
        <v>6</v>
      </c>
      <c r="I250" s="2">
        <f>WEEKDAY(Table1[[#This Row],[Date]])</f>
        <v>6</v>
      </c>
      <c r="J250">
        <f>Table1[[#This Row],[Credit]]-Table1[[#This Row],[Debit]]</f>
        <v>-150</v>
      </c>
    </row>
    <row r="251" spans="1:10" x14ac:dyDescent="0.3">
      <c r="A251" s="1">
        <v>44715</v>
      </c>
      <c r="B251" t="s">
        <v>10</v>
      </c>
      <c r="C251">
        <v>5</v>
      </c>
      <c r="E251" t="s">
        <v>11</v>
      </c>
      <c r="F251" t="s">
        <v>12</v>
      </c>
      <c r="G251" t="s">
        <v>13</v>
      </c>
      <c r="H251">
        <f>MONTH(Table1[[#This Row],[Date]])</f>
        <v>6</v>
      </c>
      <c r="I251" s="2">
        <f>WEEKDAY(Table1[[#This Row],[Date]])</f>
        <v>6</v>
      </c>
      <c r="J251">
        <f>Table1[[#This Row],[Credit]]-Table1[[#This Row],[Debit]]</f>
        <v>-5</v>
      </c>
    </row>
    <row r="252" spans="1:10" x14ac:dyDescent="0.3">
      <c r="A252" s="1">
        <v>44716</v>
      </c>
      <c r="B252" t="s">
        <v>10</v>
      </c>
      <c r="C252">
        <v>5</v>
      </c>
      <c r="E252" t="s">
        <v>11</v>
      </c>
      <c r="F252" t="s">
        <v>12</v>
      </c>
      <c r="G252" t="s">
        <v>13</v>
      </c>
      <c r="H252">
        <f>MONTH(Table1[[#This Row],[Date]])</f>
        <v>6</v>
      </c>
      <c r="I252" s="2">
        <f>WEEKDAY(Table1[[#This Row],[Date]])</f>
        <v>7</v>
      </c>
      <c r="J252">
        <f>Table1[[#This Row],[Credit]]-Table1[[#This Row],[Debit]]</f>
        <v>-5</v>
      </c>
    </row>
    <row r="253" spans="1:10" x14ac:dyDescent="0.3">
      <c r="A253" s="1">
        <v>44717</v>
      </c>
      <c r="B253" t="s">
        <v>10</v>
      </c>
      <c r="C253">
        <v>5</v>
      </c>
      <c r="E253" t="s">
        <v>11</v>
      </c>
      <c r="F253" t="s">
        <v>12</v>
      </c>
      <c r="G253" t="s">
        <v>13</v>
      </c>
      <c r="H253">
        <f>MONTH(Table1[[#This Row],[Date]])</f>
        <v>6</v>
      </c>
      <c r="I253" s="2">
        <f>WEEKDAY(Table1[[#This Row],[Date]])</f>
        <v>1</v>
      </c>
      <c r="J253">
        <f>Table1[[#This Row],[Credit]]-Table1[[#This Row],[Debit]]</f>
        <v>-5</v>
      </c>
    </row>
    <row r="254" spans="1:10" x14ac:dyDescent="0.3">
      <c r="A254" s="1">
        <v>44718</v>
      </c>
      <c r="B254" t="s">
        <v>10</v>
      </c>
      <c r="C254">
        <v>5</v>
      </c>
      <c r="E254" t="s">
        <v>11</v>
      </c>
      <c r="F254" t="s">
        <v>12</v>
      </c>
      <c r="G254" t="s">
        <v>13</v>
      </c>
      <c r="H254">
        <f>MONTH(Table1[[#This Row],[Date]])</f>
        <v>6</v>
      </c>
      <c r="I254" s="2">
        <f>WEEKDAY(Table1[[#This Row],[Date]])</f>
        <v>2</v>
      </c>
      <c r="J254">
        <f>Table1[[#This Row],[Credit]]-Table1[[#This Row],[Debit]]</f>
        <v>-5</v>
      </c>
    </row>
    <row r="255" spans="1:10" x14ac:dyDescent="0.3">
      <c r="A255" s="1">
        <v>44718</v>
      </c>
      <c r="B255" t="s">
        <v>53</v>
      </c>
      <c r="C255">
        <v>119</v>
      </c>
      <c r="E255" t="s">
        <v>16</v>
      </c>
      <c r="F255" t="s">
        <v>14</v>
      </c>
      <c r="G255" t="s">
        <v>13</v>
      </c>
      <c r="H255">
        <f>MONTH(Table1[[#This Row],[Date]])</f>
        <v>6</v>
      </c>
      <c r="I255" s="2">
        <f>WEEKDAY(Table1[[#This Row],[Date]])</f>
        <v>2</v>
      </c>
      <c r="J255">
        <f>Table1[[#This Row],[Credit]]-Table1[[#This Row],[Debit]]</f>
        <v>-119</v>
      </c>
    </row>
    <row r="256" spans="1:10" x14ac:dyDescent="0.3">
      <c r="A256" s="1">
        <v>44721</v>
      </c>
      <c r="B256" t="s">
        <v>17</v>
      </c>
      <c r="C256">
        <v>55</v>
      </c>
      <c r="E256" t="s">
        <v>18</v>
      </c>
      <c r="F256" t="s">
        <v>14</v>
      </c>
      <c r="G256" t="s">
        <v>13</v>
      </c>
      <c r="H256">
        <f>MONTH(Table1[[#This Row],[Date]])</f>
        <v>6</v>
      </c>
      <c r="I256" s="2">
        <f>WEEKDAY(Table1[[#This Row],[Date]])</f>
        <v>5</v>
      </c>
      <c r="J256">
        <f>Table1[[#This Row],[Credit]]-Table1[[#This Row],[Debit]]</f>
        <v>-55</v>
      </c>
    </row>
    <row r="257" spans="1:10" x14ac:dyDescent="0.3">
      <c r="A257" s="1">
        <v>44721</v>
      </c>
      <c r="B257" t="s">
        <v>10</v>
      </c>
      <c r="C257">
        <v>5</v>
      </c>
      <c r="E257" t="s">
        <v>11</v>
      </c>
      <c r="F257" t="s">
        <v>12</v>
      </c>
      <c r="G257" t="s">
        <v>13</v>
      </c>
      <c r="H257">
        <f>MONTH(Table1[[#This Row],[Date]])</f>
        <v>6</v>
      </c>
      <c r="I257" s="2">
        <f>WEEKDAY(Table1[[#This Row],[Date]])</f>
        <v>5</v>
      </c>
      <c r="J257">
        <f>Table1[[#This Row],[Credit]]-Table1[[#This Row],[Debit]]</f>
        <v>-5</v>
      </c>
    </row>
    <row r="258" spans="1:10" x14ac:dyDescent="0.3">
      <c r="A258" s="1">
        <v>44722</v>
      </c>
      <c r="B258" t="s">
        <v>10</v>
      </c>
      <c r="C258">
        <v>5</v>
      </c>
      <c r="E258" t="s">
        <v>11</v>
      </c>
      <c r="F258" t="s">
        <v>12</v>
      </c>
      <c r="G258" t="s">
        <v>13</v>
      </c>
      <c r="H258">
        <f>MONTH(Table1[[#This Row],[Date]])</f>
        <v>6</v>
      </c>
      <c r="I258" s="2">
        <f>WEEKDAY(Table1[[#This Row],[Date]])</f>
        <v>6</v>
      </c>
      <c r="J258">
        <f>Table1[[#This Row],[Credit]]-Table1[[#This Row],[Debit]]</f>
        <v>-5</v>
      </c>
    </row>
    <row r="259" spans="1:10" x14ac:dyDescent="0.3">
      <c r="A259" s="1">
        <v>44723</v>
      </c>
      <c r="B259" t="s">
        <v>19</v>
      </c>
      <c r="C259">
        <v>82.1</v>
      </c>
      <c r="E259" t="s">
        <v>35</v>
      </c>
      <c r="F259" t="s">
        <v>15</v>
      </c>
      <c r="G259" t="s">
        <v>13</v>
      </c>
      <c r="H259">
        <f>MONTH(Table1[[#This Row],[Date]])</f>
        <v>6</v>
      </c>
      <c r="I259" s="2">
        <f>WEEKDAY(Table1[[#This Row],[Date]])</f>
        <v>7</v>
      </c>
      <c r="J259">
        <f>Table1[[#This Row],[Credit]]-Table1[[#This Row],[Debit]]</f>
        <v>-82.1</v>
      </c>
    </row>
    <row r="260" spans="1:10" x14ac:dyDescent="0.3">
      <c r="A260" s="1">
        <v>44723</v>
      </c>
      <c r="B260" t="s">
        <v>10</v>
      </c>
      <c r="C260">
        <v>5</v>
      </c>
      <c r="E260" t="s">
        <v>11</v>
      </c>
      <c r="F260" t="s">
        <v>12</v>
      </c>
      <c r="G260" t="s">
        <v>13</v>
      </c>
      <c r="H260">
        <f>MONTH(Table1[[#This Row],[Date]])</f>
        <v>6</v>
      </c>
      <c r="I260" s="2">
        <f>WEEKDAY(Table1[[#This Row],[Date]])</f>
        <v>7</v>
      </c>
      <c r="J260">
        <f>Table1[[#This Row],[Credit]]-Table1[[#This Row],[Debit]]</f>
        <v>-5</v>
      </c>
    </row>
    <row r="261" spans="1:10" x14ac:dyDescent="0.3">
      <c r="A261" s="1">
        <v>44724</v>
      </c>
      <c r="B261" t="s">
        <v>10</v>
      </c>
      <c r="C261">
        <v>5</v>
      </c>
      <c r="E261" t="s">
        <v>11</v>
      </c>
      <c r="F261" t="s">
        <v>12</v>
      </c>
      <c r="G261" t="s">
        <v>13</v>
      </c>
      <c r="H261">
        <f>MONTH(Table1[[#This Row],[Date]])</f>
        <v>6</v>
      </c>
      <c r="I261" s="2">
        <f>WEEKDAY(Table1[[#This Row],[Date]])</f>
        <v>1</v>
      </c>
      <c r="J261">
        <f>Table1[[#This Row],[Credit]]-Table1[[#This Row],[Debit]]</f>
        <v>-5</v>
      </c>
    </row>
    <row r="262" spans="1:10" x14ac:dyDescent="0.3">
      <c r="A262" s="1">
        <v>44725</v>
      </c>
      <c r="B262" t="s">
        <v>53</v>
      </c>
      <c r="C262">
        <v>140.19999999999999</v>
      </c>
      <c r="E262" t="s">
        <v>16</v>
      </c>
      <c r="F262" t="s">
        <v>14</v>
      </c>
      <c r="G262" t="s">
        <v>13</v>
      </c>
      <c r="H262">
        <f>MONTH(Table1[[#This Row],[Date]])</f>
        <v>6</v>
      </c>
      <c r="I262" s="2">
        <f>WEEKDAY(Table1[[#This Row],[Date]])</f>
        <v>2</v>
      </c>
      <c r="J262">
        <f>Table1[[#This Row],[Credit]]-Table1[[#This Row],[Debit]]</f>
        <v>-140.19999999999999</v>
      </c>
    </row>
    <row r="263" spans="1:10" x14ac:dyDescent="0.3">
      <c r="A263" s="1">
        <v>44725</v>
      </c>
      <c r="B263" t="s">
        <v>10</v>
      </c>
      <c r="C263">
        <v>5</v>
      </c>
      <c r="E263" t="s">
        <v>11</v>
      </c>
      <c r="F263" t="s">
        <v>12</v>
      </c>
      <c r="G263" t="s">
        <v>13</v>
      </c>
      <c r="H263">
        <f>MONTH(Table1[[#This Row],[Date]])</f>
        <v>6</v>
      </c>
      <c r="I263" s="2">
        <f>WEEKDAY(Table1[[#This Row],[Date]])</f>
        <v>2</v>
      </c>
      <c r="J263">
        <f>Table1[[#This Row],[Credit]]-Table1[[#This Row],[Debit]]</f>
        <v>-5</v>
      </c>
    </row>
    <row r="264" spans="1:10" x14ac:dyDescent="0.3">
      <c r="A264" s="1">
        <v>44726</v>
      </c>
      <c r="B264" t="s">
        <v>10</v>
      </c>
      <c r="C264">
        <v>5</v>
      </c>
      <c r="E264" t="s">
        <v>11</v>
      </c>
      <c r="F264" t="s">
        <v>12</v>
      </c>
      <c r="G264" t="s">
        <v>13</v>
      </c>
      <c r="H264">
        <f>MONTH(Table1[[#This Row],[Date]])</f>
        <v>6</v>
      </c>
      <c r="I264" s="2">
        <f>WEEKDAY(Table1[[#This Row],[Date]])</f>
        <v>3</v>
      </c>
      <c r="J264">
        <f>Table1[[#This Row],[Credit]]-Table1[[#This Row],[Debit]]</f>
        <v>-5</v>
      </c>
    </row>
    <row r="265" spans="1:10" x14ac:dyDescent="0.3">
      <c r="A265" s="1">
        <v>44726</v>
      </c>
      <c r="B265" t="s">
        <v>20</v>
      </c>
      <c r="C265">
        <v>44.9</v>
      </c>
      <c r="E265" t="s">
        <v>21</v>
      </c>
      <c r="F265" t="s">
        <v>22</v>
      </c>
      <c r="G265" t="s">
        <v>13</v>
      </c>
      <c r="H265">
        <f>MONTH(Table1[[#This Row],[Date]])</f>
        <v>6</v>
      </c>
      <c r="I265" s="2">
        <f>WEEKDAY(Table1[[#This Row],[Date]])</f>
        <v>3</v>
      </c>
      <c r="J265">
        <f>Table1[[#This Row],[Credit]]-Table1[[#This Row],[Debit]]</f>
        <v>-44.9</v>
      </c>
    </row>
    <row r="266" spans="1:10" x14ac:dyDescent="0.3">
      <c r="A266" s="1">
        <v>44726</v>
      </c>
      <c r="B266" t="s">
        <v>73</v>
      </c>
      <c r="C266">
        <v>102.9</v>
      </c>
      <c r="E266" t="s">
        <v>58</v>
      </c>
      <c r="F266" t="s">
        <v>90</v>
      </c>
      <c r="G266" t="s">
        <v>13</v>
      </c>
      <c r="H266">
        <f>MONTH(Table1[[#This Row],[Date]])</f>
        <v>6</v>
      </c>
      <c r="I266" s="2">
        <f>WEEKDAY(Table1[[#This Row],[Date]])</f>
        <v>3</v>
      </c>
      <c r="J266">
        <f>Table1[[#This Row],[Credit]]-Table1[[#This Row],[Debit]]</f>
        <v>-102.9</v>
      </c>
    </row>
    <row r="267" spans="1:10" x14ac:dyDescent="0.3">
      <c r="A267" s="1">
        <v>44726</v>
      </c>
      <c r="B267" t="s">
        <v>25</v>
      </c>
      <c r="C267">
        <v>56.9</v>
      </c>
      <c r="E267" t="s">
        <v>26</v>
      </c>
      <c r="F267" t="s">
        <v>12</v>
      </c>
      <c r="G267" t="s">
        <v>13</v>
      </c>
      <c r="H267">
        <f>MONTH(Table1[[#This Row],[Date]])</f>
        <v>6</v>
      </c>
      <c r="I267" s="2">
        <f>WEEKDAY(Table1[[#This Row],[Date]])</f>
        <v>3</v>
      </c>
      <c r="J267">
        <f>Table1[[#This Row],[Credit]]-Table1[[#This Row],[Debit]]</f>
        <v>-56.9</v>
      </c>
    </row>
    <row r="268" spans="1:10" x14ac:dyDescent="0.3">
      <c r="A268" s="1">
        <v>44727</v>
      </c>
      <c r="B268" t="s">
        <v>48</v>
      </c>
      <c r="C268">
        <v>33.1</v>
      </c>
      <c r="E268" t="s">
        <v>27</v>
      </c>
      <c r="F268" t="s">
        <v>15</v>
      </c>
      <c r="G268" t="s">
        <v>13</v>
      </c>
      <c r="H268">
        <f>MONTH(Table1[[#This Row],[Date]])</f>
        <v>6</v>
      </c>
      <c r="I268" s="2">
        <f>WEEKDAY(Table1[[#This Row],[Date]])</f>
        <v>4</v>
      </c>
      <c r="J268">
        <f>Table1[[#This Row],[Credit]]-Table1[[#This Row],[Debit]]</f>
        <v>-33.1</v>
      </c>
    </row>
    <row r="269" spans="1:10" x14ac:dyDescent="0.3">
      <c r="A269" s="1">
        <v>44728</v>
      </c>
      <c r="B269" t="s">
        <v>9</v>
      </c>
      <c r="D269">
        <v>100</v>
      </c>
      <c r="E269" t="s">
        <v>49</v>
      </c>
      <c r="F269" t="s">
        <v>28</v>
      </c>
      <c r="G269" t="s">
        <v>9</v>
      </c>
      <c r="H269">
        <f>MONTH(Table1[[#This Row],[Date]])</f>
        <v>6</v>
      </c>
      <c r="I269" s="2">
        <f>WEEKDAY(Table1[[#This Row],[Date]])</f>
        <v>5</v>
      </c>
      <c r="J269">
        <f>Table1[[#This Row],[Credit]]-Table1[[#This Row],[Debit]]</f>
        <v>100</v>
      </c>
    </row>
    <row r="270" spans="1:10" x14ac:dyDescent="0.3">
      <c r="A270" s="1">
        <v>44728</v>
      </c>
      <c r="B270" t="s">
        <v>10</v>
      </c>
      <c r="C270">
        <v>5</v>
      </c>
      <c r="E270" t="s">
        <v>11</v>
      </c>
      <c r="F270" t="s">
        <v>12</v>
      </c>
      <c r="G270" t="s">
        <v>13</v>
      </c>
      <c r="H270">
        <f>MONTH(Table1[[#This Row],[Date]])</f>
        <v>6</v>
      </c>
      <c r="I270" s="2">
        <f>WEEKDAY(Table1[[#This Row],[Date]])</f>
        <v>5</v>
      </c>
      <c r="J270">
        <f>Table1[[#This Row],[Credit]]-Table1[[#This Row],[Debit]]</f>
        <v>-5</v>
      </c>
    </row>
    <row r="271" spans="1:10" x14ac:dyDescent="0.3">
      <c r="A271" s="1">
        <v>44729</v>
      </c>
      <c r="B271" t="s">
        <v>10</v>
      </c>
      <c r="C271">
        <v>5</v>
      </c>
      <c r="E271" t="s">
        <v>11</v>
      </c>
      <c r="F271" t="s">
        <v>12</v>
      </c>
      <c r="G271" t="s">
        <v>13</v>
      </c>
      <c r="H271">
        <f>MONTH(Table1[[#This Row],[Date]])</f>
        <v>6</v>
      </c>
      <c r="I271" s="2">
        <f>WEEKDAY(Table1[[#This Row],[Date]])</f>
        <v>6</v>
      </c>
      <c r="J271">
        <f>Table1[[#This Row],[Credit]]-Table1[[#This Row],[Debit]]</f>
        <v>-5</v>
      </c>
    </row>
    <row r="272" spans="1:10" x14ac:dyDescent="0.3">
      <c r="A272" s="1">
        <v>44729</v>
      </c>
      <c r="B272" t="s">
        <v>29</v>
      </c>
      <c r="C272">
        <v>40</v>
      </c>
      <c r="E272" t="s">
        <v>29</v>
      </c>
      <c r="F272" t="s">
        <v>14</v>
      </c>
      <c r="G272" t="s">
        <v>13</v>
      </c>
      <c r="H272">
        <f>MONTH(Table1[[#This Row],[Date]])</f>
        <v>6</v>
      </c>
      <c r="I272" s="2">
        <f>WEEKDAY(Table1[[#This Row],[Date]])</f>
        <v>6</v>
      </c>
      <c r="J272">
        <f>Table1[[#This Row],[Credit]]-Table1[[#This Row],[Debit]]</f>
        <v>-40</v>
      </c>
    </row>
    <row r="273" spans="1:10" x14ac:dyDescent="0.3">
      <c r="A273" s="1">
        <v>44730</v>
      </c>
      <c r="B273" t="s">
        <v>50</v>
      </c>
      <c r="C273">
        <v>50.1</v>
      </c>
      <c r="E273" t="s">
        <v>30</v>
      </c>
      <c r="F273" t="s">
        <v>22</v>
      </c>
      <c r="G273" t="s">
        <v>13</v>
      </c>
      <c r="H273">
        <f>MONTH(Table1[[#This Row],[Date]])</f>
        <v>6</v>
      </c>
      <c r="I273" s="2">
        <f>WEEKDAY(Table1[[#This Row],[Date]])</f>
        <v>7</v>
      </c>
      <c r="J273">
        <f>Table1[[#This Row],[Credit]]-Table1[[#This Row],[Debit]]</f>
        <v>-50.1</v>
      </c>
    </row>
    <row r="274" spans="1:10" x14ac:dyDescent="0.3">
      <c r="A274" s="1">
        <v>44730</v>
      </c>
      <c r="B274" t="s">
        <v>31</v>
      </c>
      <c r="C274">
        <v>35</v>
      </c>
      <c r="E274" t="s">
        <v>21</v>
      </c>
      <c r="F274" t="s">
        <v>22</v>
      </c>
      <c r="G274" t="s">
        <v>13</v>
      </c>
      <c r="H274">
        <f>MONTH(Table1[[#This Row],[Date]])</f>
        <v>6</v>
      </c>
      <c r="I274" s="2">
        <f>WEEKDAY(Table1[[#This Row],[Date]])</f>
        <v>7</v>
      </c>
      <c r="J274">
        <f>Table1[[#This Row],[Credit]]-Table1[[#This Row],[Debit]]</f>
        <v>-35</v>
      </c>
    </row>
    <row r="275" spans="1:10" x14ac:dyDescent="0.3">
      <c r="A275" s="1">
        <v>44730</v>
      </c>
      <c r="B275" t="s">
        <v>10</v>
      </c>
      <c r="C275">
        <v>5</v>
      </c>
      <c r="E275" t="s">
        <v>11</v>
      </c>
      <c r="F275" t="s">
        <v>12</v>
      </c>
      <c r="G275" t="s">
        <v>13</v>
      </c>
      <c r="H275">
        <f>MONTH(Table1[[#This Row],[Date]])</f>
        <v>6</v>
      </c>
      <c r="I275" s="2">
        <f>WEEKDAY(Table1[[#This Row],[Date]])</f>
        <v>7</v>
      </c>
      <c r="J275">
        <f>Table1[[#This Row],[Credit]]-Table1[[#This Row],[Debit]]</f>
        <v>-5</v>
      </c>
    </row>
    <row r="276" spans="1:10" x14ac:dyDescent="0.3">
      <c r="A276" s="1">
        <v>44731</v>
      </c>
      <c r="B276" t="s">
        <v>37</v>
      </c>
      <c r="C276">
        <v>20</v>
      </c>
      <c r="E276" t="s">
        <v>129</v>
      </c>
      <c r="F276" t="s">
        <v>39</v>
      </c>
      <c r="G276" t="s">
        <v>13</v>
      </c>
      <c r="H276">
        <f>MONTH(Table1[[#This Row],[Date]])</f>
        <v>6</v>
      </c>
      <c r="I276" s="2">
        <f>WEEKDAY(Table1[[#This Row],[Date]])</f>
        <v>1</v>
      </c>
      <c r="J276">
        <f>Table1[[#This Row],[Credit]]-Table1[[#This Row],[Debit]]</f>
        <v>-20</v>
      </c>
    </row>
    <row r="277" spans="1:10" x14ac:dyDescent="0.3">
      <c r="A277" s="1">
        <v>44731</v>
      </c>
      <c r="B277" t="s">
        <v>10</v>
      </c>
      <c r="C277">
        <v>5</v>
      </c>
      <c r="E277" t="s">
        <v>11</v>
      </c>
      <c r="F277" t="s">
        <v>12</v>
      </c>
      <c r="G277" t="s">
        <v>13</v>
      </c>
      <c r="H277">
        <f>MONTH(Table1[[#This Row],[Date]])</f>
        <v>6</v>
      </c>
      <c r="I277" s="2">
        <f>WEEKDAY(Table1[[#This Row],[Date]])</f>
        <v>1</v>
      </c>
      <c r="J277">
        <f>Table1[[#This Row],[Credit]]-Table1[[#This Row],[Debit]]</f>
        <v>-5</v>
      </c>
    </row>
    <row r="278" spans="1:10" x14ac:dyDescent="0.3">
      <c r="A278" s="1">
        <v>44732</v>
      </c>
      <c r="B278" t="s">
        <v>10</v>
      </c>
      <c r="C278">
        <v>5</v>
      </c>
      <c r="E278" t="s">
        <v>11</v>
      </c>
      <c r="F278" t="s">
        <v>12</v>
      </c>
      <c r="G278" t="s">
        <v>13</v>
      </c>
      <c r="H278">
        <f>MONTH(Table1[[#This Row],[Date]])</f>
        <v>6</v>
      </c>
      <c r="I278" s="2">
        <f>WEEKDAY(Table1[[#This Row],[Date]])</f>
        <v>2</v>
      </c>
      <c r="J278">
        <f>Table1[[#This Row],[Credit]]-Table1[[#This Row],[Debit]]</f>
        <v>-5</v>
      </c>
    </row>
    <row r="279" spans="1:10" x14ac:dyDescent="0.3">
      <c r="A279" s="1">
        <v>44732</v>
      </c>
      <c r="B279" t="s">
        <v>53</v>
      </c>
      <c r="C279">
        <v>234</v>
      </c>
      <c r="E279" t="s">
        <v>16</v>
      </c>
      <c r="F279" t="s">
        <v>14</v>
      </c>
      <c r="G279" t="s">
        <v>13</v>
      </c>
      <c r="H279">
        <f>MONTH(Table1[[#This Row],[Date]])</f>
        <v>6</v>
      </c>
      <c r="I279" s="2">
        <f>WEEKDAY(Table1[[#This Row],[Date]])</f>
        <v>2</v>
      </c>
      <c r="J279">
        <f>Table1[[#This Row],[Credit]]-Table1[[#This Row],[Debit]]</f>
        <v>-234</v>
      </c>
    </row>
    <row r="280" spans="1:10" x14ac:dyDescent="0.3">
      <c r="A280" s="1">
        <v>44733</v>
      </c>
      <c r="B280" t="s">
        <v>66</v>
      </c>
      <c r="C280">
        <v>42.1</v>
      </c>
      <c r="E280" t="s">
        <v>26</v>
      </c>
      <c r="F280" t="s">
        <v>12</v>
      </c>
      <c r="G280" t="s">
        <v>13</v>
      </c>
      <c r="H280">
        <f>MONTH(Table1[[#This Row],[Date]])</f>
        <v>6</v>
      </c>
      <c r="I280" s="2">
        <f>WEEKDAY(Table1[[#This Row],[Date]])</f>
        <v>3</v>
      </c>
      <c r="J280">
        <f>Table1[[#This Row],[Credit]]-Table1[[#This Row],[Debit]]</f>
        <v>-42.1</v>
      </c>
    </row>
    <row r="281" spans="1:10" x14ac:dyDescent="0.3">
      <c r="A281" s="1">
        <v>44734</v>
      </c>
      <c r="B281" t="s">
        <v>82</v>
      </c>
      <c r="C281">
        <v>17.099999999999998</v>
      </c>
      <c r="E281" t="s">
        <v>26</v>
      </c>
      <c r="F281" t="s">
        <v>12</v>
      </c>
      <c r="G281" t="s">
        <v>13</v>
      </c>
      <c r="H281">
        <f>MONTH(Table1[[#This Row],[Date]])</f>
        <v>6</v>
      </c>
      <c r="I281" s="2">
        <f>WEEKDAY(Table1[[#This Row],[Date]])</f>
        <v>4</v>
      </c>
      <c r="J281">
        <f>Table1[[#This Row],[Credit]]-Table1[[#This Row],[Debit]]</f>
        <v>-17.099999999999998</v>
      </c>
    </row>
    <row r="282" spans="1:10" x14ac:dyDescent="0.3">
      <c r="A282" s="1">
        <v>44735</v>
      </c>
      <c r="B282" t="s">
        <v>32</v>
      </c>
      <c r="C282">
        <v>55</v>
      </c>
      <c r="E282" t="s">
        <v>33</v>
      </c>
      <c r="F282" t="s">
        <v>34</v>
      </c>
      <c r="G282" t="s">
        <v>13</v>
      </c>
      <c r="H282">
        <f>MONTH(Table1[[#This Row],[Date]])</f>
        <v>6</v>
      </c>
      <c r="I282" s="2">
        <f>WEEKDAY(Table1[[#This Row],[Date]])</f>
        <v>5</v>
      </c>
      <c r="J282">
        <f>Table1[[#This Row],[Credit]]-Table1[[#This Row],[Debit]]</f>
        <v>-55</v>
      </c>
    </row>
    <row r="283" spans="1:10" x14ac:dyDescent="0.3">
      <c r="A283" s="1">
        <v>44735</v>
      </c>
      <c r="B283" t="s">
        <v>19</v>
      </c>
      <c r="C283">
        <v>67.900000000000006</v>
      </c>
      <c r="E283" t="s">
        <v>35</v>
      </c>
      <c r="F283" t="s">
        <v>15</v>
      </c>
      <c r="G283" t="s">
        <v>13</v>
      </c>
      <c r="H283">
        <f>MONTH(Table1[[#This Row],[Date]])</f>
        <v>6</v>
      </c>
      <c r="I283" s="2">
        <f>WEEKDAY(Table1[[#This Row],[Date]])</f>
        <v>5</v>
      </c>
      <c r="J283">
        <f>Table1[[#This Row],[Credit]]-Table1[[#This Row],[Debit]]</f>
        <v>-67.900000000000006</v>
      </c>
    </row>
    <row r="284" spans="1:10" x14ac:dyDescent="0.3">
      <c r="A284" s="1">
        <v>44735</v>
      </c>
      <c r="B284" t="s">
        <v>10</v>
      </c>
      <c r="C284">
        <v>5</v>
      </c>
      <c r="E284" t="s">
        <v>11</v>
      </c>
      <c r="F284" t="s">
        <v>12</v>
      </c>
      <c r="G284" t="s">
        <v>13</v>
      </c>
      <c r="H284">
        <f>MONTH(Table1[[#This Row],[Date]])</f>
        <v>6</v>
      </c>
      <c r="I284" s="2">
        <f>WEEKDAY(Table1[[#This Row],[Date]])</f>
        <v>5</v>
      </c>
      <c r="J284">
        <f>Table1[[#This Row],[Credit]]-Table1[[#This Row],[Debit]]</f>
        <v>-5</v>
      </c>
    </row>
    <row r="285" spans="1:10" x14ac:dyDescent="0.3">
      <c r="A285" s="1">
        <v>44736</v>
      </c>
      <c r="B285" t="s">
        <v>10</v>
      </c>
      <c r="C285">
        <v>5</v>
      </c>
      <c r="E285" t="s">
        <v>11</v>
      </c>
      <c r="F285" t="s">
        <v>12</v>
      </c>
      <c r="G285" t="s">
        <v>13</v>
      </c>
      <c r="H285">
        <f>MONTH(Table1[[#This Row],[Date]])</f>
        <v>6</v>
      </c>
      <c r="I285" s="2">
        <f>WEEKDAY(Table1[[#This Row],[Date]])</f>
        <v>6</v>
      </c>
      <c r="J285">
        <f>Table1[[#This Row],[Credit]]-Table1[[#This Row],[Debit]]</f>
        <v>-5</v>
      </c>
    </row>
    <row r="286" spans="1:10" x14ac:dyDescent="0.3">
      <c r="A286" s="1">
        <v>44737</v>
      </c>
      <c r="B286" t="s">
        <v>10</v>
      </c>
      <c r="C286">
        <v>5</v>
      </c>
      <c r="E286" t="s">
        <v>11</v>
      </c>
      <c r="F286" t="s">
        <v>12</v>
      </c>
      <c r="G286" t="s">
        <v>13</v>
      </c>
      <c r="H286">
        <f>MONTH(Table1[[#This Row],[Date]])</f>
        <v>6</v>
      </c>
      <c r="I286" s="2">
        <f>WEEKDAY(Table1[[#This Row],[Date]])</f>
        <v>7</v>
      </c>
      <c r="J286">
        <f>Table1[[#This Row],[Credit]]-Table1[[#This Row],[Debit]]</f>
        <v>-5</v>
      </c>
    </row>
    <row r="287" spans="1:10" x14ac:dyDescent="0.3">
      <c r="A287" s="1">
        <v>44738</v>
      </c>
      <c r="B287" t="s">
        <v>10</v>
      </c>
      <c r="C287">
        <v>5</v>
      </c>
      <c r="E287" t="s">
        <v>11</v>
      </c>
      <c r="F287" t="s">
        <v>12</v>
      </c>
      <c r="G287" t="s">
        <v>13</v>
      </c>
      <c r="H287">
        <f>MONTH(Table1[[#This Row],[Date]])</f>
        <v>6</v>
      </c>
      <c r="I287" s="2">
        <f>WEEKDAY(Table1[[#This Row],[Date]])</f>
        <v>1</v>
      </c>
      <c r="J287">
        <f>Table1[[#This Row],[Credit]]-Table1[[#This Row],[Debit]]</f>
        <v>-5</v>
      </c>
    </row>
    <row r="288" spans="1:10" x14ac:dyDescent="0.3">
      <c r="A288" s="1">
        <v>44739</v>
      </c>
      <c r="B288" t="s">
        <v>10</v>
      </c>
      <c r="C288">
        <v>5</v>
      </c>
      <c r="E288" t="s">
        <v>11</v>
      </c>
      <c r="F288" t="s">
        <v>12</v>
      </c>
      <c r="G288" t="s">
        <v>13</v>
      </c>
      <c r="H288">
        <f>MONTH(Table1[[#This Row],[Date]])</f>
        <v>6</v>
      </c>
      <c r="I288" s="2">
        <f>WEEKDAY(Table1[[#This Row],[Date]])</f>
        <v>2</v>
      </c>
      <c r="J288">
        <f>Table1[[#This Row],[Credit]]-Table1[[#This Row],[Debit]]</f>
        <v>-5</v>
      </c>
    </row>
    <row r="289" spans="1:10" x14ac:dyDescent="0.3">
      <c r="A289" s="1">
        <v>44739</v>
      </c>
      <c r="B289" t="s">
        <v>53</v>
      </c>
      <c r="C289">
        <v>166.9</v>
      </c>
      <c r="E289" t="s">
        <v>16</v>
      </c>
      <c r="F289" t="s">
        <v>14</v>
      </c>
      <c r="G289" t="s">
        <v>13</v>
      </c>
      <c r="H289">
        <f>MONTH(Table1[[#This Row],[Date]])</f>
        <v>6</v>
      </c>
      <c r="I289" s="2">
        <f>WEEKDAY(Table1[[#This Row],[Date]])</f>
        <v>2</v>
      </c>
      <c r="J289">
        <f>Table1[[#This Row],[Credit]]-Table1[[#This Row],[Debit]]</f>
        <v>-166.9</v>
      </c>
    </row>
    <row r="290" spans="1:10" x14ac:dyDescent="0.3">
      <c r="A290" s="1">
        <v>44740</v>
      </c>
      <c r="B290" t="s">
        <v>56</v>
      </c>
      <c r="C290">
        <v>129.9</v>
      </c>
      <c r="E290" t="s">
        <v>24</v>
      </c>
      <c r="F290" t="s">
        <v>22</v>
      </c>
      <c r="G290" t="s">
        <v>13</v>
      </c>
      <c r="H290">
        <f>MONTH(Table1[[#This Row],[Date]])</f>
        <v>6</v>
      </c>
      <c r="I290" s="2">
        <f>WEEKDAY(Table1[[#This Row],[Date]])</f>
        <v>3</v>
      </c>
      <c r="J290">
        <f>Table1[[#This Row],[Credit]]-Table1[[#This Row],[Debit]]</f>
        <v>-129.9</v>
      </c>
    </row>
    <row r="291" spans="1:10" x14ac:dyDescent="0.3">
      <c r="A291" s="1">
        <v>44740</v>
      </c>
      <c r="B291" t="s">
        <v>36</v>
      </c>
      <c r="C291">
        <v>180.29999999999998</v>
      </c>
      <c r="E291" t="s">
        <v>21</v>
      </c>
      <c r="F291" t="s">
        <v>22</v>
      </c>
      <c r="G291" t="s">
        <v>13</v>
      </c>
      <c r="H291">
        <f>MONTH(Table1[[#This Row],[Date]])</f>
        <v>6</v>
      </c>
      <c r="I291" s="2">
        <f>WEEKDAY(Table1[[#This Row],[Date]])</f>
        <v>3</v>
      </c>
      <c r="J291">
        <f>Table1[[#This Row],[Credit]]-Table1[[#This Row],[Debit]]</f>
        <v>-180.29999999999998</v>
      </c>
    </row>
    <row r="292" spans="1:10" x14ac:dyDescent="0.3">
      <c r="A292" s="1">
        <v>44741</v>
      </c>
      <c r="B292" t="s">
        <v>69</v>
      </c>
      <c r="C292">
        <v>150.1</v>
      </c>
      <c r="E292" t="s">
        <v>24</v>
      </c>
      <c r="F292" t="s">
        <v>22</v>
      </c>
      <c r="G292" t="s">
        <v>13</v>
      </c>
      <c r="H292">
        <f>MONTH(Table1[[#This Row],[Date]])</f>
        <v>6</v>
      </c>
      <c r="I292" s="2">
        <f>WEEKDAY(Table1[[#This Row],[Date]])</f>
        <v>4</v>
      </c>
      <c r="J292">
        <f>Table1[[#This Row],[Credit]]-Table1[[#This Row],[Debit]]</f>
        <v>-150.1</v>
      </c>
    </row>
    <row r="293" spans="1:10" x14ac:dyDescent="0.3">
      <c r="A293" s="1">
        <v>44741</v>
      </c>
      <c r="B293" t="s">
        <v>48</v>
      </c>
      <c r="C293">
        <v>28.200000000000003</v>
      </c>
      <c r="E293" t="s">
        <v>27</v>
      </c>
      <c r="F293" t="s">
        <v>15</v>
      </c>
      <c r="G293" t="s">
        <v>13</v>
      </c>
      <c r="H293">
        <f>MONTH(Table1[[#This Row],[Date]])</f>
        <v>6</v>
      </c>
      <c r="I293" s="2">
        <f>WEEKDAY(Table1[[#This Row],[Date]])</f>
        <v>4</v>
      </c>
      <c r="J293">
        <f>Table1[[#This Row],[Credit]]-Table1[[#This Row],[Debit]]</f>
        <v>-28.200000000000003</v>
      </c>
    </row>
    <row r="294" spans="1:10" x14ac:dyDescent="0.3">
      <c r="A294" s="1">
        <v>44741</v>
      </c>
      <c r="B294" t="s">
        <v>83</v>
      </c>
      <c r="C294">
        <v>15</v>
      </c>
      <c r="E294" t="s">
        <v>26</v>
      </c>
      <c r="F294" t="s">
        <v>12</v>
      </c>
      <c r="G294" t="s">
        <v>13</v>
      </c>
      <c r="H294">
        <f>MONTH(Table1[[#This Row],[Date]])</f>
        <v>6</v>
      </c>
      <c r="I294" s="2">
        <f>WEEKDAY(Table1[[#This Row],[Date]])</f>
        <v>4</v>
      </c>
      <c r="J294">
        <f>Table1[[#This Row],[Credit]]-Table1[[#This Row],[Debit]]</f>
        <v>-15</v>
      </c>
    </row>
    <row r="295" spans="1:10" x14ac:dyDescent="0.3">
      <c r="A295" s="1">
        <v>44742</v>
      </c>
      <c r="B295" t="s">
        <v>10</v>
      </c>
      <c r="C295">
        <v>5</v>
      </c>
      <c r="E295" t="s">
        <v>11</v>
      </c>
      <c r="F295" t="s">
        <v>12</v>
      </c>
      <c r="G295" t="s">
        <v>13</v>
      </c>
      <c r="H295">
        <f>MONTH(Table1[[#This Row],[Date]])</f>
        <v>6</v>
      </c>
      <c r="I295" s="2">
        <f>WEEKDAY(Table1[[#This Row],[Date]])</f>
        <v>5</v>
      </c>
      <c r="J295">
        <f>Table1[[#This Row],[Credit]]-Table1[[#This Row],[Debit]]</f>
        <v>-5</v>
      </c>
    </row>
    <row r="296" spans="1:10" x14ac:dyDescent="0.3">
      <c r="A296" s="1">
        <v>44743</v>
      </c>
      <c r="B296" t="s">
        <v>10</v>
      </c>
      <c r="C296">
        <v>5</v>
      </c>
      <c r="E296" t="s">
        <v>11</v>
      </c>
      <c r="F296" t="s">
        <v>12</v>
      </c>
      <c r="G296" t="s">
        <v>13</v>
      </c>
      <c r="H296">
        <f>MONTH(Table1[[#This Row],[Date]])</f>
        <v>7</v>
      </c>
      <c r="I296" s="2">
        <f>WEEKDAY(Table1[[#This Row],[Date]])</f>
        <v>6</v>
      </c>
      <c r="J296">
        <f>Table1[[#This Row],[Credit]]-Table1[[#This Row],[Debit]]</f>
        <v>-5</v>
      </c>
    </row>
    <row r="297" spans="1:10" x14ac:dyDescent="0.3">
      <c r="A297" s="1">
        <v>44744</v>
      </c>
      <c r="B297" t="s">
        <v>7</v>
      </c>
      <c r="D297">
        <v>5000</v>
      </c>
      <c r="E297" t="s">
        <v>64</v>
      </c>
      <c r="F297" t="s">
        <v>8</v>
      </c>
      <c r="G297" t="s">
        <v>9</v>
      </c>
      <c r="H297">
        <f>MONTH(Table1[[#This Row],[Date]])</f>
        <v>7</v>
      </c>
      <c r="I297" s="2">
        <f>WEEKDAY(Table1[[#This Row],[Date]])</f>
        <v>7</v>
      </c>
      <c r="J297">
        <f>Table1[[#This Row],[Credit]]-Table1[[#This Row],[Debit]]</f>
        <v>5000</v>
      </c>
    </row>
    <row r="298" spans="1:10" x14ac:dyDescent="0.3">
      <c r="A298" s="1">
        <v>44745</v>
      </c>
      <c r="B298" t="s">
        <v>10</v>
      </c>
      <c r="C298">
        <v>5</v>
      </c>
      <c r="E298" t="s">
        <v>11</v>
      </c>
      <c r="F298" t="s">
        <v>12</v>
      </c>
      <c r="G298" t="s">
        <v>13</v>
      </c>
      <c r="H298">
        <f>MONTH(Table1[[#This Row],[Date]])</f>
        <v>7</v>
      </c>
      <c r="I298" s="2">
        <f>WEEKDAY(Table1[[#This Row],[Date]])</f>
        <v>1</v>
      </c>
      <c r="J298">
        <f>Table1[[#This Row],[Credit]]-Table1[[#This Row],[Debit]]</f>
        <v>-5</v>
      </c>
    </row>
    <row r="299" spans="1:10" x14ac:dyDescent="0.3">
      <c r="A299" s="1">
        <v>44747</v>
      </c>
      <c r="B299" t="s">
        <v>53</v>
      </c>
      <c r="C299">
        <v>900</v>
      </c>
      <c r="E299" t="s">
        <v>16</v>
      </c>
      <c r="F299" t="s">
        <v>14</v>
      </c>
      <c r="G299" t="s">
        <v>13</v>
      </c>
      <c r="H299">
        <f>MONTH(Table1[[#This Row],[Date]])</f>
        <v>7</v>
      </c>
      <c r="I299" s="2">
        <f>WEEKDAY(Table1[[#This Row],[Date]])</f>
        <v>3</v>
      </c>
      <c r="J299">
        <f>Table1[[#This Row],[Credit]]-Table1[[#This Row],[Debit]]</f>
        <v>-900</v>
      </c>
    </row>
    <row r="300" spans="1:10" x14ac:dyDescent="0.3">
      <c r="A300" s="1">
        <v>44747</v>
      </c>
      <c r="B300" t="s">
        <v>72</v>
      </c>
      <c r="C300">
        <v>150</v>
      </c>
      <c r="E300" t="s">
        <v>71</v>
      </c>
      <c r="F300" t="s">
        <v>90</v>
      </c>
      <c r="G300" t="s">
        <v>13</v>
      </c>
      <c r="H300">
        <f>MONTH(Table1[[#This Row],[Date]])</f>
        <v>7</v>
      </c>
      <c r="I300" s="2">
        <f>WEEKDAY(Table1[[#This Row],[Date]])</f>
        <v>3</v>
      </c>
      <c r="J300">
        <f>Table1[[#This Row],[Credit]]-Table1[[#This Row],[Debit]]</f>
        <v>-150</v>
      </c>
    </row>
    <row r="301" spans="1:10" x14ac:dyDescent="0.3">
      <c r="A301" s="1">
        <v>44747</v>
      </c>
      <c r="B301" t="s">
        <v>67</v>
      </c>
      <c r="C301">
        <v>15</v>
      </c>
      <c r="E301" t="s">
        <v>26</v>
      </c>
      <c r="F301" t="s">
        <v>12</v>
      </c>
      <c r="G301" t="s">
        <v>13</v>
      </c>
      <c r="H301">
        <f>MONTH(Table1[[#This Row],[Date]])</f>
        <v>7</v>
      </c>
      <c r="I301" s="2">
        <f>WEEKDAY(Table1[[#This Row],[Date]])</f>
        <v>3</v>
      </c>
      <c r="J301">
        <f>Table1[[#This Row],[Credit]]-Table1[[#This Row],[Debit]]</f>
        <v>-15</v>
      </c>
    </row>
    <row r="302" spans="1:10" x14ac:dyDescent="0.3">
      <c r="A302" s="1">
        <v>44747</v>
      </c>
      <c r="B302" t="s">
        <v>10</v>
      </c>
      <c r="C302">
        <v>5</v>
      </c>
      <c r="E302" t="s">
        <v>11</v>
      </c>
      <c r="F302" t="s">
        <v>12</v>
      </c>
      <c r="G302" t="s">
        <v>13</v>
      </c>
      <c r="H302">
        <f>MONTH(Table1[[#This Row],[Date]])</f>
        <v>7</v>
      </c>
      <c r="I302" s="2">
        <f>WEEKDAY(Table1[[#This Row],[Date]])</f>
        <v>3</v>
      </c>
      <c r="J302">
        <f>Table1[[#This Row],[Credit]]-Table1[[#This Row],[Debit]]</f>
        <v>-5</v>
      </c>
    </row>
    <row r="303" spans="1:10" x14ac:dyDescent="0.3">
      <c r="A303" s="1">
        <v>44748</v>
      </c>
      <c r="B303" t="s">
        <v>10</v>
      </c>
      <c r="C303">
        <v>5</v>
      </c>
      <c r="E303" t="s">
        <v>11</v>
      </c>
      <c r="F303" t="s">
        <v>12</v>
      </c>
      <c r="G303" t="s">
        <v>13</v>
      </c>
      <c r="H303">
        <f>MONTH(Table1[[#This Row],[Date]])</f>
        <v>7</v>
      </c>
      <c r="I303" s="2">
        <f>WEEKDAY(Table1[[#This Row],[Date]])</f>
        <v>4</v>
      </c>
      <c r="J303">
        <f>Table1[[#This Row],[Credit]]-Table1[[#This Row],[Debit]]</f>
        <v>-5</v>
      </c>
    </row>
    <row r="304" spans="1:10" x14ac:dyDescent="0.3">
      <c r="A304" s="1">
        <v>44749</v>
      </c>
      <c r="B304" t="s">
        <v>10</v>
      </c>
      <c r="C304">
        <v>5</v>
      </c>
      <c r="E304" t="s">
        <v>11</v>
      </c>
      <c r="F304" t="s">
        <v>12</v>
      </c>
      <c r="G304" t="s">
        <v>13</v>
      </c>
      <c r="H304">
        <f>MONTH(Table1[[#This Row],[Date]])</f>
        <v>7</v>
      </c>
      <c r="I304" s="2">
        <f>WEEKDAY(Table1[[#This Row],[Date]])</f>
        <v>5</v>
      </c>
      <c r="J304">
        <f>Table1[[#This Row],[Credit]]-Table1[[#This Row],[Debit]]</f>
        <v>-5</v>
      </c>
    </row>
    <row r="305" spans="1:10" x14ac:dyDescent="0.3">
      <c r="A305" s="1">
        <v>44749</v>
      </c>
      <c r="B305" t="s">
        <v>53</v>
      </c>
      <c r="C305">
        <v>180</v>
      </c>
      <c r="E305" t="s">
        <v>16</v>
      </c>
      <c r="F305" t="s">
        <v>14</v>
      </c>
      <c r="G305" t="s">
        <v>13</v>
      </c>
      <c r="H305">
        <f>MONTH(Table1[[#This Row],[Date]])</f>
        <v>7</v>
      </c>
      <c r="I305" s="2">
        <f>WEEKDAY(Table1[[#This Row],[Date]])</f>
        <v>5</v>
      </c>
      <c r="J305">
        <f>Table1[[#This Row],[Credit]]-Table1[[#This Row],[Debit]]</f>
        <v>-180</v>
      </c>
    </row>
    <row r="306" spans="1:10" x14ac:dyDescent="0.3">
      <c r="A306" s="1">
        <v>44752</v>
      </c>
      <c r="B306" t="s">
        <v>17</v>
      </c>
      <c r="C306">
        <v>56.1</v>
      </c>
      <c r="E306" t="s">
        <v>18</v>
      </c>
      <c r="F306" t="s">
        <v>14</v>
      </c>
      <c r="G306" t="s">
        <v>13</v>
      </c>
      <c r="H306">
        <f>MONTH(Table1[[#This Row],[Date]])</f>
        <v>7</v>
      </c>
      <c r="I306" s="2">
        <f>WEEKDAY(Table1[[#This Row],[Date]])</f>
        <v>1</v>
      </c>
      <c r="J306">
        <f>Table1[[#This Row],[Credit]]-Table1[[#This Row],[Debit]]</f>
        <v>-56.1</v>
      </c>
    </row>
    <row r="307" spans="1:10" x14ac:dyDescent="0.3">
      <c r="A307" s="1">
        <v>44752</v>
      </c>
      <c r="B307" t="s">
        <v>10</v>
      </c>
      <c r="C307">
        <v>5</v>
      </c>
      <c r="E307" t="s">
        <v>11</v>
      </c>
      <c r="F307" t="s">
        <v>12</v>
      </c>
      <c r="G307" t="s">
        <v>13</v>
      </c>
      <c r="H307">
        <f>MONTH(Table1[[#This Row],[Date]])</f>
        <v>7</v>
      </c>
      <c r="I307" s="2">
        <f>WEEKDAY(Table1[[#This Row],[Date]])</f>
        <v>1</v>
      </c>
      <c r="J307">
        <f>Table1[[#This Row],[Credit]]-Table1[[#This Row],[Debit]]</f>
        <v>-5</v>
      </c>
    </row>
    <row r="308" spans="1:10" x14ac:dyDescent="0.3">
      <c r="A308" s="1">
        <v>44753</v>
      </c>
      <c r="B308" t="s">
        <v>10</v>
      </c>
      <c r="C308">
        <v>5</v>
      </c>
      <c r="E308" t="s">
        <v>11</v>
      </c>
      <c r="F308" t="s">
        <v>12</v>
      </c>
      <c r="G308" t="s">
        <v>13</v>
      </c>
      <c r="H308">
        <f>MONTH(Table1[[#This Row],[Date]])</f>
        <v>7</v>
      </c>
      <c r="I308" s="2">
        <f>WEEKDAY(Table1[[#This Row],[Date]])</f>
        <v>2</v>
      </c>
      <c r="J308">
        <f>Table1[[#This Row],[Credit]]-Table1[[#This Row],[Debit]]</f>
        <v>-5</v>
      </c>
    </row>
    <row r="309" spans="1:10" x14ac:dyDescent="0.3">
      <c r="A309" s="1">
        <v>44754</v>
      </c>
      <c r="B309" t="s">
        <v>19</v>
      </c>
      <c r="C309">
        <v>83.1</v>
      </c>
      <c r="E309" t="s">
        <v>35</v>
      </c>
      <c r="F309" t="s">
        <v>15</v>
      </c>
      <c r="G309" t="s">
        <v>13</v>
      </c>
      <c r="H309">
        <f>MONTH(Table1[[#This Row],[Date]])</f>
        <v>7</v>
      </c>
      <c r="I309" s="2">
        <f>WEEKDAY(Table1[[#This Row],[Date]])</f>
        <v>3</v>
      </c>
      <c r="J309">
        <f>Table1[[#This Row],[Credit]]-Table1[[#This Row],[Debit]]</f>
        <v>-83.1</v>
      </c>
    </row>
    <row r="310" spans="1:10" x14ac:dyDescent="0.3">
      <c r="A310" s="1">
        <v>44754</v>
      </c>
      <c r="B310" t="s">
        <v>10</v>
      </c>
      <c r="C310">
        <v>5</v>
      </c>
      <c r="E310" t="s">
        <v>11</v>
      </c>
      <c r="F310" t="s">
        <v>12</v>
      </c>
      <c r="G310" t="s">
        <v>13</v>
      </c>
      <c r="H310">
        <f>MONTH(Table1[[#This Row],[Date]])</f>
        <v>7</v>
      </c>
      <c r="I310" s="2">
        <f>WEEKDAY(Table1[[#This Row],[Date]])</f>
        <v>3</v>
      </c>
      <c r="J310">
        <f>Table1[[#This Row],[Credit]]-Table1[[#This Row],[Debit]]</f>
        <v>-5</v>
      </c>
    </row>
    <row r="311" spans="1:10" x14ac:dyDescent="0.3">
      <c r="A311" s="1">
        <v>44755</v>
      </c>
      <c r="B311" t="s">
        <v>10</v>
      </c>
      <c r="C311">
        <v>5</v>
      </c>
      <c r="E311" t="s">
        <v>11</v>
      </c>
      <c r="F311" t="s">
        <v>12</v>
      </c>
      <c r="G311" t="s">
        <v>13</v>
      </c>
      <c r="H311">
        <f>MONTH(Table1[[#This Row],[Date]])</f>
        <v>7</v>
      </c>
      <c r="I311" s="2">
        <f>WEEKDAY(Table1[[#This Row],[Date]])</f>
        <v>4</v>
      </c>
      <c r="J311">
        <f>Table1[[#This Row],[Credit]]-Table1[[#This Row],[Debit]]</f>
        <v>-5</v>
      </c>
    </row>
    <row r="312" spans="1:10" x14ac:dyDescent="0.3">
      <c r="A312" s="1">
        <v>44756</v>
      </c>
      <c r="B312" t="s">
        <v>53</v>
      </c>
      <c r="C312">
        <v>141.1</v>
      </c>
      <c r="E312" t="s">
        <v>16</v>
      </c>
      <c r="F312" t="s">
        <v>14</v>
      </c>
      <c r="G312" t="s">
        <v>13</v>
      </c>
      <c r="H312">
        <f>MONTH(Table1[[#This Row],[Date]])</f>
        <v>7</v>
      </c>
      <c r="I312" s="2">
        <f>WEEKDAY(Table1[[#This Row],[Date]])</f>
        <v>5</v>
      </c>
      <c r="J312">
        <f>Table1[[#This Row],[Credit]]-Table1[[#This Row],[Debit]]</f>
        <v>-141.1</v>
      </c>
    </row>
    <row r="313" spans="1:10" x14ac:dyDescent="0.3">
      <c r="A313" s="1">
        <v>44756</v>
      </c>
      <c r="B313" t="s">
        <v>10</v>
      </c>
      <c r="C313">
        <v>5</v>
      </c>
      <c r="E313" t="s">
        <v>11</v>
      </c>
      <c r="F313" t="s">
        <v>12</v>
      </c>
      <c r="G313" t="s">
        <v>13</v>
      </c>
      <c r="H313">
        <f>MONTH(Table1[[#This Row],[Date]])</f>
        <v>7</v>
      </c>
      <c r="I313" s="2">
        <f>WEEKDAY(Table1[[#This Row],[Date]])</f>
        <v>5</v>
      </c>
      <c r="J313">
        <f>Table1[[#This Row],[Credit]]-Table1[[#This Row],[Debit]]</f>
        <v>-5</v>
      </c>
    </row>
    <row r="314" spans="1:10" x14ac:dyDescent="0.3">
      <c r="A314" s="1">
        <v>44757</v>
      </c>
      <c r="B314" t="s">
        <v>10</v>
      </c>
      <c r="C314">
        <v>5</v>
      </c>
      <c r="E314" t="s">
        <v>11</v>
      </c>
      <c r="F314" t="s">
        <v>12</v>
      </c>
      <c r="G314" t="s">
        <v>13</v>
      </c>
      <c r="H314">
        <f>MONTH(Table1[[#This Row],[Date]])</f>
        <v>7</v>
      </c>
      <c r="I314" s="2">
        <f>WEEKDAY(Table1[[#This Row],[Date]])</f>
        <v>6</v>
      </c>
      <c r="J314">
        <f>Table1[[#This Row],[Credit]]-Table1[[#This Row],[Debit]]</f>
        <v>-5</v>
      </c>
    </row>
    <row r="315" spans="1:10" x14ac:dyDescent="0.3">
      <c r="A315" s="1">
        <v>44757</v>
      </c>
      <c r="B315" t="s">
        <v>20</v>
      </c>
      <c r="C315">
        <v>45.8</v>
      </c>
      <c r="E315" t="s">
        <v>21</v>
      </c>
      <c r="F315" t="s">
        <v>22</v>
      </c>
      <c r="G315" t="s">
        <v>13</v>
      </c>
      <c r="H315">
        <f>MONTH(Table1[[#This Row],[Date]])</f>
        <v>7</v>
      </c>
      <c r="I315" s="2">
        <f>WEEKDAY(Table1[[#This Row],[Date]])</f>
        <v>6</v>
      </c>
      <c r="J315">
        <f>Table1[[#This Row],[Credit]]-Table1[[#This Row],[Debit]]</f>
        <v>-45.8</v>
      </c>
    </row>
    <row r="316" spans="1:10" x14ac:dyDescent="0.3">
      <c r="A316" s="1">
        <v>44757</v>
      </c>
      <c r="B316" t="s">
        <v>84</v>
      </c>
      <c r="C316">
        <v>103.80000000000001</v>
      </c>
      <c r="E316" t="s">
        <v>24</v>
      </c>
      <c r="F316" t="s">
        <v>22</v>
      </c>
      <c r="G316" t="s">
        <v>13</v>
      </c>
      <c r="H316">
        <f>MONTH(Table1[[#This Row],[Date]])</f>
        <v>7</v>
      </c>
      <c r="I316" s="2">
        <f>WEEKDAY(Table1[[#This Row],[Date]])</f>
        <v>6</v>
      </c>
      <c r="J316">
        <f>Table1[[#This Row],[Credit]]-Table1[[#This Row],[Debit]]</f>
        <v>-103.80000000000001</v>
      </c>
    </row>
    <row r="317" spans="1:10" x14ac:dyDescent="0.3">
      <c r="A317" s="1">
        <v>44757</v>
      </c>
      <c r="B317" t="s">
        <v>25</v>
      </c>
      <c r="C317">
        <v>58</v>
      </c>
      <c r="E317" t="s">
        <v>26</v>
      </c>
      <c r="F317" t="s">
        <v>12</v>
      </c>
      <c r="G317" t="s">
        <v>13</v>
      </c>
      <c r="H317">
        <f>MONTH(Table1[[#This Row],[Date]])</f>
        <v>7</v>
      </c>
      <c r="I317" s="2">
        <f>WEEKDAY(Table1[[#This Row],[Date]])</f>
        <v>6</v>
      </c>
      <c r="J317">
        <f>Table1[[#This Row],[Credit]]-Table1[[#This Row],[Debit]]</f>
        <v>-58</v>
      </c>
    </row>
    <row r="318" spans="1:10" x14ac:dyDescent="0.3">
      <c r="A318" s="1">
        <v>44758</v>
      </c>
      <c r="B318" t="s">
        <v>48</v>
      </c>
      <c r="C318">
        <v>34.200000000000003</v>
      </c>
      <c r="E318" t="s">
        <v>27</v>
      </c>
      <c r="F318" t="s">
        <v>15</v>
      </c>
      <c r="G318" t="s">
        <v>13</v>
      </c>
      <c r="H318">
        <f>MONTH(Table1[[#This Row],[Date]])</f>
        <v>7</v>
      </c>
      <c r="I318" s="2">
        <f>WEEKDAY(Table1[[#This Row],[Date]])</f>
        <v>7</v>
      </c>
      <c r="J318">
        <f>Table1[[#This Row],[Credit]]-Table1[[#This Row],[Debit]]</f>
        <v>-34.200000000000003</v>
      </c>
    </row>
    <row r="319" spans="1:10" x14ac:dyDescent="0.3">
      <c r="A319" s="1">
        <v>44759</v>
      </c>
      <c r="B319" t="s">
        <v>9</v>
      </c>
      <c r="D319">
        <v>200</v>
      </c>
      <c r="E319" t="s">
        <v>49</v>
      </c>
      <c r="F319" t="s">
        <v>28</v>
      </c>
      <c r="G319" t="s">
        <v>9</v>
      </c>
      <c r="H319">
        <f>MONTH(Table1[[#This Row],[Date]])</f>
        <v>7</v>
      </c>
      <c r="I319" s="2">
        <f>WEEKDAY(Table1[[#This Row],[Date]])</f>
        <v>1</v>
      </c>
      <c r="J319">
        <f>Table1[[#This Row],[Credit]]-Table1[[#This Row],[Debit]]</f>
        <v>200</v>
      </c>
    </row>
    <row r="320" spans="1:10" x14ac:dyDescent="0.3">
      <c r="A320" s="1">
        <v>44759</v>
      </c>
      <c r="B320" t="s">
        <v>10</v>
      </c>
      <c r="C320">
        <v>5</v>
      </c>
      <c r="E320" t="s">
        <v>11</v>
      </c>
      <c r="F320" t="s">
        <v>12</v>
      </c>
      <c r="G320" t="s">
        <v>13</v>
      </c>
      <c r="H320">
        <f>MONTH(Table1[[#This Row],[Date]])</f>
        <v>7</v>
      </c>
      <c r="I320" s="2">
        <f>WEEKDAY(Table1[[#This Row],[Date]])</f>
        <v>1</v>
      </c>
      <c r="J320">
        <f>Table1[[#This Row],[Credit]]-Table1[[#This Row],[Debit]]</f>
        <v>-5</v>
      </c>
    </row>
    <row r="321" spans="1:10" x14ac:dyDescent="0.3">
      <c r="A321" s="1">
        <v>44760</v>
      </c>
      <c r="B321" t="s">
        <v>10</v>
      </c>
      <c r="C321">
        <v>5</v>
      </c>
      <c r="E321" t="s">
        <v>11</v>
      </c>
      <c r="F321" t="s">
        <v>12</v>
      </c>
      <c r="G321" t="s">
        <v>13</v>
      </c>
      <c r="H321">
        <f>MONTH(Table1[[#This Row],[Date]])</f>
        <v>7</v>
      </c>
      <c r="I321" s="2">
        <f>WEEKDAY(Table1[[#This Row],[Date]])</f>
        <v>2</v>
      </c>
      <c r="J321">
        <f>Table1[[#This Row],[Credit]]-Table1[[#This Row],[Debit]]</f>
        <v>-5</v>
      </c>
    </row>
    <row r="322" spans="1:10" x14ac:dyDescent="0.3">
      <c r="A322" s="1">
        <v>44760</v>
      </c>
      <c r="B322" t="s">
        <v>29</v>
      </c>
      <c r="C322">
        <v>40</v>
      </c>
      <c r="E322" t="s">
        <v>29</v>
      </c>
      <c r="F322" t="s">
        <v>14</v>
      </c>
      <c r="G322" t="s">
        <v>13</v>
      </c>
      <c r="H322">
        <f>MONTH(Table1[[#This Row],[Date]])</f>
        <v>7</v>
      </c>
      <c r="I322" s="2">
        <f>WEEKDAY(Table1[[#This Row],[Date]])</f>
        <v>2</v>
      </c>
      <c r="J322">
        <f>Table1[[#This Row],[Credit]]-Table1[[#This Row],[Debit]]</f>
        <v>-40</v>
      </c>
    </row>
    <row r="323" spans="1:10" x14ac:dyDescent="0.3">
      <c r="A323" s="1">
        <v>44761</v>
      </c>
      <c r="B323" t="s">
        <v>50</v>
      </c>
      <c r="C323">
        <v>51.1</v>
      </c>
      <c r="E323" t="s">
        <v>30</v>
      </c>
      <c r="F323" t="s">
        <v>22</v>
      </c>
      <c r="G323" t="s">
        <v>13</v>
      </c>
      <c r="H323">
        <f>MONTH(Table1[[#This Row],[Date]])</f>
        <v>7</v>
      </c>
      <c r="I323" s="2">
        <f>WEEKDAY(Table1[[#This Row],[Date]])</f>
        <v>3</v>
      </c>
      <c r="J323">
        <f>Table1[[#This Row],[Credit]]-Table1[[#This Row],[Debit]]</f>
        <v>-51.1</v>
      </c>
    </row>
    <row r="324" spans="1:10" x14ac:dyDescent="0.3">
      <c r="A324" s="1">
        <v>44761</v>
      </c>
      <c r="B324" t="s">
        <v>31</v>
      </c>
      <c r="C324">
        <v>35</v>
      </c>
      <c r="E324" t="s">
        <v>21</v>
      </c>
      <c r="F324" t="s">
        <v>22</v>
      </c>
      <c r="G324" t="s">
        <v>13</v>
      </c>
      <c r="H324">
        <f>MONTH(Table1[[#This Row],[Date]])</f>
        <v>7</v>
      </c>
      <c r="I324" s="2">
        <f>WEEKDAY(Table1[[#This Row],[Date]])</f>
        <v>3</v>
      </c>
      <c r="J324">
        <f>Table1[[#This Row],[Credit]]-Table1[[#This Row],[Debit]]</f>
        <v>-35</v>
      </c>
    </row>
    <row r="325" spans="1:10" x14ac:dyDescent="0.3">
      <c r="A325" s="1">
        <v>44761</v>
      </c>
      <c r="B325" t="s">
        <v>10</v>
      </c>
      <c r="C325">
        <v>5</v>
      </c>
      <c r="E325" t="s">
        <v>11</v>
      </c>
      <c r="F325" t="s">
        <v>12</v>
      </c>
      <c r="G325" t="s">
        <v>13</v>
      </c>
      <c r="H325">
        <f>MONTH(Table1[[#This Row],[Date]])</f>
        <v>7</v>
      </c>
      <c r="I325" s="2">
        <f>WEEKDAY(Table1[[#This Row],[Date]])</f>
        <v>3</v>
      </c>
      <c r="J325">
        <f>Table1[[#This Row],[Credit]]-Table1[[#This Row],[Debit]]</f>
        <v>-5</v>
      </c>
    </row>
    <row r="326" spans="1:10" x14ac:dyDescent="0.3">
      <c r="A326" s="1">
        <v>44762</v>
      </c>
      <c r="B326" t="s">
        <v>10</v>
      </c>
      <c r="C326">
        <v>5</v>
      </c>
      <c r="E326" t="s">
        <v>11</v>
      </c>
      <c r="F326" t="s">
        <v>12</v>
      </c>
      <c r="G326" t="s">
        <v>13</v>
      </c>
      <c r="H326">
        <f>MONTH(Table1[[#This Row],[Date]])</f>
        <v>7</v>
      </c>
      <c r="I326" s="2">
        <f>WEEKDAY(Table1[[#This Row],[Date]])</f>
        <v>4</v>
      </c>
      <c r="J326">
        <f>Table1[[#This Row],[Credit]]-Table1[[#This Row],[Debit]]</f>
        <v>-5</v>
      </c>
    </row>
    <row r="327" spans="1:10" x14ac:dyDescent="0.3">
      <c r="A327" s="1">
        <v>44763</v>
      </c>
      <c r="B327" t="s">
        <v>10</v>
      </c>
      <c r="C327">
        <v>5</v>
      </c>
      <c r="E327" t="s">
        <v>11</v>
      </c>
      <c r="F327" t="s">
        <v>12</v>
      </c>
      <c r="G327" t="s">
        <v>13</v>
      </c>
      <c r="H327">
        <f>MONTH(Table1[[#This Row],[Date]])</f>
        <v>7</v>
      </c>
      <c r="I327" s="2">
        <f>WEEKDAY(Table1[[#This Row],[Date]])</f>
        <v>5</v>
      </c>
      <c r="J327">
        <f>Table1[[#This Row],[Credit]]-Table1[[#This Row],[Debit]]</f>
        <v>-5</v>
      </c>
    </row>
    <row r="328" spans="1:10" x14ac:dyDescent="0.3">
      <c r="A328" s="1">
        <v>44763</v>
      </c>
      <c r="B328" t="s">
        <v>53</v>
      </c>
      <c r="C328">
        <v>176</v>
      </c>
      <c r="E328" t="s">
        <v>16</v>
      </c>
      <c r="F328" t="s">
        <v>14</v>
      </c>
      <c r="G328" t="s">
        <v>13</v>
      </c>
      <c r="H328">
        <f>MONTH(Table1[[#This Row],[Date]])</f>
        <v>7</v>
      </c>
      <c r="I328" s="2">
        <f>WEEKDAY(Table1[[#This Row],[Date]])</f>
        <v>5</v>
      </c>
      <c r="J328">
        <f>Table1[[#This Row],[Credit]]-Table1[[#This Row],[Debit]]</f>
        <v>-176</v>
      </c>
    </row>
    <row r="329" spans="1:10" x14ac:dyDescent="0.3">
      <c r="A329" s="1">
        <v>44764</v>
      </c>
      <c r="B329" t="s">
        <v>86</v>
      </c>
      <c r="C329">
        <v>43.1</v>
      </c>
      <c r="E329" t="s">
        <v>26</v>
      </c>
      <c r="F329" t="s">
        <v>12</v>
      </c>
      <c r="G329" t="s">
        <v>13</v>
      </c>
      <c r="H329">
        <f>MONTH(Table1[[#This Row],[Date]])</f>
        <v>7</v>
      </c>
      <c r="I329" s="2">
        <f>WEEKDAY(Table1[[#This Row],[Date]])</f>
        <v>6</v>
      </c>
      <c r="J329">
        <f>Table1[[#This Row],[Credit]]-Table1[[#This Row],[Debit]]</f>
        <v>-43.1</v>
      </c>
    </row>
    <row r="330" spans="1:10" x14ac:dyDescent="0.3">
      <c r="A330" s="1">
        <v>44765</v>
      </c>
      <c r="B330" t="s">
        <v>85</v>
      </c>
      <c r="C330">
        <v>18.2</v>
      </c>
      <c r="E330" t="s">
        <v>26</v>
      </c>
      <c r="F330" t="s">
        <v>12</v>
      </c>
      <c r="G330" t="s">
        <v>13</v>
      </c>
      <c r="H330">
        <f>MONTH(Table1[[#This Row],[Date]])</f>
        <v>7</v>
      </c>
      <c r="I330" s="2">
        <f>WEEKDAY(Table1[[#This Row],[Date]])</f>
        <v>7</v>
      </c>
      <c r="J330">
        <f>Table1[[#This Row],[Credit]]-Table1[[#This Row],[Debit]]</f>
        <v>-18.2</v>
      </c>
    </row>
    <row r="331" spans="1:10" x14ac:dyDescent="0.3">
      <c r="A331" s="1">
        <v>44766</v>
      </c>
      <c r="B331" t="s">
        <v>32</v>
      </c>
      <c r="C331">
        <v>55</v>
      </c>
      <c r="E331" t="s">
        <v>33</v>
      </c>
      <c r="F331" t="s">
        <v>34</v>
      </c>
      <c r="G331" t="s">
        <v>13</v>
      </c>
      <c r="H331">
        <f>MONTH(Table1[[#This Row],[Date]])</f>
        <v>7</v>
      </c>
      <c r="I331" s="2">
        <f>WEEKDAY(Table1[[#This Row],[Date]])</f>
        <v>1</v>
      </c>
      <c r="J331">
        <f>Table1[[#This Row],[Credit]]-Table1[[#This Row],[Debit]]</f>
        <v>-55</v>
      </c>
    </row>
    <row r="332" spans="1:10" x14ac:dyDescent="0.3">
      <c r="A332" s="1">
        <v>44766</v>
      </c>
      <c r="B332" t="s">
        <v>19</v>
      </c>
      <c r="C332">
        <v>68.800000000000011</v>
      </c>
      <c r="E332" t="s">
        <v>35</v>
      </c>
      <c r="F332" t="s">
        <v>15</v>
      </c>
      <c r="G332" t="s">
        <v>13</v>
      </c>
      <c r="H332">
        <f>MONTH(Table1[[#This Row],[Date]])</f>
        <v>7</v>
      </c>
      <c r="I332" s="2">
        <f>WEEKDAY(Table1[[#This Row],[Date]])</f>
        <v>1</v>
      </c>
      <c r="J332">
        <f>Table1[[#This Row],[Credit]]-Table1[[#This Row],[Debit]]</f>
        <v>-68.800000000000011</v>
      </c>
    </row>
    <row r="333" spans="1:10" x14ac:dyDescent="0.3">
      <c r="A333" s="1">
        <v>44766</v>
      </c>
      <c r="B333" t="s">
        <v>37</v>
      </c>
      <c r="C333">
        <v>130</v>
      </c>
      <c r="E333" t="s">
        <v>129</v>
      </c>
      <c r="F333" t="s">
        <v>39</v>
      </c>
      <c r="G333" t="s">
        <v>13</v>
      </c>
      <c r="H333">
        <f>MONTH(Table1[[#This Row],[Date]])</f>
        <v>7</v>
      </c>
      <c r="I333" s="2">
        <f>WEEKDAY(Table1[[#This Row],[Date]])</f>
        <v>1</v>
      </c>
      <c r="J333">
        <f>Table1[[#This Row],[Credit]]-Table1[[#This Row],[Debit]]</f>
        <v>-130</v>
      </c>
    </row>
    <row r="334" spans="1:10" x14ac:dyDescent="0.3">
      <c r="A334" s="1">
        <v>44766</v>
      </c>
      <c r="B334" t="s">
        <v>10</v>
      </c>
      <c r="C334">
        <v>5</v>
      </c>
      <c r="E334" t="s">
        <v>11</v>
      </c>
      <c r="F334" t="s">
        <v>12</v>
      </c>
      <c r="G334" t="s">
        <v>13</v>
      </c>
      <c r="H334">
        <f>MONTH(Table1[[#This Row],[Date]])</f>
        <v>7</v>
      </c>
      <c r="I334" s="2">
        <f>WEEKDAY(Table1[[#This Row],[Date]])</f>
        <v>1</v>
      </c>
      <c r="J334">
        <f>Table1[[#This Row],[Credit]]-Table1[[#This Row],[Debit]]</f>
        <v>-5</v>
      </c>
    </row>
    <row r="335" spans="1:10" x14ac:dyDescent="0.3">
      <c r="A335" s="1">
        <v>44767</v>
      </c>
      <c r="B335" t="s">
        <v>10</v>
      </c>
      <c r="C335">
        <v>5</v>
      </c>
      <c r="E335" t="s">
        <v>11</v>
      </c>
      <c r="F335" t="s">
        <v>12</v>
      </c>
      <c r="G335" t="s">
        <v>13</v>
      </c>
      <c r="H335">
        <f>MONTH(Table1[[#This Row],[Date]])</f>
        <v>7</v>
      </c>
      <c r="I335" s="2">
        <f>WEEKDAY(Table1[[#This Row],[Date]])</f>
        <v>2</v>
      </c>
      <c r="J335">
        <f>Table1[[#This Row],[Credit]]-Table1[[#This Row],[Debit]]</f>
        <v>-5</v>
      </c>
    </row>
    <row r="336" spans="1:10" x14ac:dyDescent="0.3">
      <c r="A336" s="1">
        <v>44768</v>
      </c>
      <c r="B336" t="s">
        <v>10</v>
      </c>
      <c r="C336">
        <v>5</v>
      </c>
      <c r="E336" t="s">
        <v>11</v>
      </c>
      <c r="F336" t="s">
        <v>12</v>
      </c>
      <c r="G336" t="s">
        <v>13</v>
      </c>
      <c r="H336">
        <f>MONTH(Table1[[#This Row],[Date]])</f>
        <v>7</v>
      </c>
      <c r="I336" s="2">
        <f>WEEKDAY(Table1[[#This Row],[Date]])</f>
        <v>3</v>
      </c>
      <c r="J336">
        <f>Table1[[#This Row],[Credit]]-Table1[[#This Row],[Debit]]</f>
        <v>-5</v>
      </c>
    </row>
    <row r="337" spans="1:10" x14ac:dyDescent="0.3">
      <c r="A337" s="1">
        <v>44769</v>
      </c>
      <c r="B337" t="s">
        <v>10</v>
      </c>
      <c r="C337">
        <v>5</v>
      </c>
      <c r="E337" t="s">
        <v>11</v>
      </c>
      <c r="F337" t="s">
        <v>12</v>
      </c>
      <c r="G337" t="s">
        <v>13</v>
      </c>
      <c r="H337">
        <f>MONTH(Table1[[#This Row],[Date]])</f>
        <v>7</v>
      </c>
      <c r="I337" s="2">
        <f>WEEKDAY(Table1[[#This Row],[Date]])</f>
        <v>4</v>
      </c>
      <c r="J337">
        <f>Table1[[#This Row],[Credit]]-Table1[[#This Row],[Debit]]</f>
        <v>-5</v>
      </c>
    </row>
    <row r="338" spans="1:10" x14ac:dyDescent="0.3">
      <c r="A338" s="1">
        <v>44770</v>
      </c>
      <c r="B338" t="s">
        <v>10</v>
      </c>
      <c r="C338">
        <v>5</v>
      </c>
      <c r="E338" t="s">
        <v>11</v>
      </c>
      <c r="F338" t="s">
        <v>12</v>
      </c>
      <c r="G338" t="s">
        <v>13</v>
      </c>
      <c r="H338">
        <f>MONTH(Table1[[#This Row],[Date]])</f>
        <v>7</v>
      </c>
      <c r="I338" s="2">
        <f>WEEKDAY(Table1[[#This Row],[Date]])</f>
        <v>5</v>
      </c>
      <c r="J338">
        <f>Table1[[#This Row],[Credit]]-Table1[[#This Row],[Debit]]</f>
        <v>-5</v>
      </c>
    </row>
    <row r="339" spans="1:10" x14ac:dyDescent="0.3">
      <c r="A339" s="1">
        <v>44770</v>
      </c>
      <c r="B339" t="s">
        <v>53</v>
      </c>
      <c r="C339">
        <v>193</v>
      </c>
      <c r="E339" t="s">
        <v>16</v>
      </c>
      <c r="F339" t="s">
        <v>14</v>
      </c>
      <c r="G339" t="s">
        <v>13</v>
      </c>
      <c r="H339">
        <f>MONTH(Table1[[#This Row],[Date]])</f>
        <v>7</v>
      </c>
      <c r="I339" s="2">
        <f>WEEKDAY(Table1[[#This Row],[Date]])</f>
        <v>5</v>
      </c>
      <c r="J339">
        <f>Table1[[#This Row],[Credit]]-Table1[[#This Row],[Debit]]</f>
        <v>-193</v>
      </c>
    </row>
    <row r="340" spans="1:10" x14ac:dyDescent="0.3">
      <c r="A340" s="1">
        <v>44771</v>
      </c>
      <c r="B340" t="s">
        <v>56</v>
      </c>
      <c r="C340">
        <v>130.80000000000001</v>
      </c>
      <c r="E340" t="s">
        <v>24</v>
      </c>
      <c r="F340" t="s">
        <v>22</v>
      </c>
      <c r="G340" t="s">
        <v>13</v>
      </c>
      <c r="H340">
        <f>MONTH(Table1[[#This Row],[Date]])</f>
        <v>7</v>
      </c>
      <c r="I340" s="2">
        <f>WEEKDAY(Table1[[#This Row],[Date]])</f>
        <v>6</v>
      </c>
      <c r="J340">
        <f>Table1[[#This Row],[Credit]]-Table1[[#This Row],[Debit]]</f>
        <v>-130.80000000000001</v>
      </c>
    </row>
    <row r="341" spans="1:10" x14ac:dyDescent="0.3">
      <c r="A341" s="1">
        <v>44771</v>
      </c>
      <c r="B341" t="s">
        <v>42</v>
      </c>
      <c r="C341">
        <v>181.39999999999998</v>
      </c>
      <c r="E341" t="s">
        <v>43</v>
      </c>
      <c r="F341" t="s">
        <v>22</v>
      </c>
      <c r="G341" t="s">
        <v>13</v>
      </c>
      <c r="H341">
        <f>MONTH(Table1[[#This Row],[Date]])</f>
        <v>7</v>
      </c>
      <c r="I341" s="2">
        <f>WEEKDAY(Table1[[#This Row],[Date]])</f>
        <v>6</v>
      </c>
      <c r="J341">
        <f>Table1[[#This Row],[Credit]]-Table1[[#This Row],[Debit]]</f>
        <v>-181.39999999999998</v>
      </c>
    </row>
    <row r="342" spans="1:10" x14ac:dyDescent="0.3">
      <c r="A342" s="1">
        <v>44772</v>
      </c>
      <c r="B342" t="s">
        <v>63</v>
      </c>
      <c r="C342">
        <v>151.19999999999999</v>
      </c>
      <c r="E342" t="s">
        <v>24</v>
      </c>
      <c r="F342" t="s">
        <v>22</v>
      </c>
      <c r="G342" t="s">
        <v>13</v>
      </c>
      <c r="H342">
        <f>MONTH(Table1[[#This Row],[Date]])</f>
        <v>7</v>
      </c>
      <c r="I342" s="2">
        <f>WEEKDAY(Table1[[#This Row],[Date]])</f>
        <v>7</v>
      </c>
      <c r="J342">
        <f>Table1[[#This Row],[Credit]]-Table1[[#This Row],[Debit]]</f>
        <v>-151.19999999999999</v>
      </c>
    </row>
    <row r="343" spans="1:10" x14ac:dyDescent="0.3">
      <c r="A343" s="1">
        <v>44772</v>
      </c>
      <c r="B343" t="s">
        <v>48</v>
      </c>
      <c r="C343">
        <v>29.300000000000004</v>
      </c>
      <c r="E343" t="s">
        <v>27</v>
      </c>
      <c r="F343" t="s">
        <v>15</v>
      </c>
      <c r="G343" t="s">
        <v>13</v>
      </c>
      <c r="H343">
        <f>MONTH(Table1[[#This Row],[Date]])</f>
        <v>7</v>
      </c>
      <c r="I343" s="2">
        <f>WEEKDAY(Table1[[#This Row],[Date]])</f>
        <v>7</v>
      </c>
      <c r="J343">
        <f>Table1[[#This Row],[Credit]]-Table1[[#This Row],[Debit]]</f>
        <v>-29.300000000000004</v>
      </c>
    </row>
    <row r="344" spans="1:10" x14ac:dyDescent="0.3">
      <c r="A344" s="1">
        <v>44772</v>
      </c>
      <c r="B344" t="s">
        <v>87</v>
      </c>
      <c r="C344">
        <v>15</v>
      </c>
      <c r="E344" t="s">
        <v>26</v>
      </c>
      <c r="F344" t="s">
        <v>12</v>
      </c>
      <c r="G344" t="s">
        <v>13</v>
      </c>
      <c r="H344">
        <f>MONTH(Table1[[#This Row],[Date]])</f>
        <v>7</v>
      </c>
      <c r="I344" s="2">
        <f>WEEKDAY(Table1[[#This Row],[Date]])</f>
        <v>7</v>
      </c>
      <c r="J344">
        <f>Table1[[#This Row],[Credit]]-Table1[[#This Row],[Debit]]</f>
        <v>-15</v>
      </c>
    </row>
    <row r="345" spans="1:10" x14ac:dyDescent="0.3">
      <c r="A345" s="1">
        <v>44773</v>
      </c>
      <c r="B345" t="s">
        <v>10</v>
      </c>
      <c r="C345">
        <v>5</v>
      </c>
      <c r="E345" t="s">
        <v>11</v>
      </c>
      <c r="F345" t="s">
        <v>12</v>
      </c>
      <c r="G345" t="s">
        <v>13</v>
      </c>
      <c r="H345">
        <f>MONTH(Table1[[#This Row],[Date]])</f>
        <v>7</v>
      </c>
      <c r="I345" s="2">
        <f>WEEKDAY(Table1[[#This Row],[Date]])</f>
        <v>1</v>
      </c>
      <c r="J345">
        <f>Table1[[#This Row],[Credit]]-Table1[[#This Row],[Debit]]</f>
        <v>-5</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13D40-ED2C-4F52-83FA-4614EB6B9CFA}">
  <sheetPr codeName="Sheet3"/>
  <dimension ref="A1:AB486"/>
  <sheetViews>
    <sheetView showGridLines="0" zoomScale="96" zoomScaleNormal="40" workbookViewId="0">
      <selection activeCell="D11" sqref="D11"/>
    </sheetView>
  </sheetViews>
  <sheetFormatPr defaultRowHeight="13.8" x14ac:dyDescent="0.25"/>
  <cols>
    <col min="1" max="1" width="15.77734375" style="7" customWidth="1"/>
    <col min="2" max="3" width="8.88671875" style="8"/>
    <col min="4" max="5" width="12.33203125" style="8" customWidth="1"/>
    <col min="6" max="6" width="20.77734375" style="8" customWidth="1"/>
    <col min="7" max="7" width="13.21875" style="8" bestFit="1" customWidth="1"/>
    <col min="8" max="8" width="16.21875" style="8" bestFit="1" customWidth="1"/>
    <col min="9" max="9" width="12.44140625" style="8" bestFit="1" customWidth="1"/>
    <col min="10" max="10" width="9.44140625" style="8" bestFit="1" customWidth="1"/>
    <col min="11" max="11" width="21.109375" style="8" bestFit="1" customWidth="1"/>
    <col min="12" max="12" width="10.33203125" style="8" bestFit="1" customWidth="1"/>
    <col min="13" max="13" width="7.33203125" style="8" bestFit="1" customWidth="1"/>
    <col min="14" max="14" width="8" style="8" bestFit="1" customWidth="1"/>
    <col min="15" max="15" width="11.21875" style="8" bestFit="1" customWidth="1"/>
    <col min="16" max="16" width="8.88671875" style="8"/>
    <col min="17" max="17" width="17.109375" style="8" bestFit="1" customWidth="1"/>
    <col min="18" max="18" width="12.33203125" style="8" bestFit="1" customWidth="1"/>
    <col min="19" max="19" width="8.88671875" style="8"/>
    <col min="20" max="20" width="23.88671875" style="8" customWidth="1"/>
    <col min="21" max="21" width="13.6640625" style="8" bestFit="1" customWidth="1"/>
    <col min="22" max="22" width="8.88671875" style="8"/>
    <col min="23" max="23" width="17.109375" style="8" bestFit="1" customWidth="1"/>
    <col min="24" max="24" width="14.88671875" style="8" customWidth="1"/>
    <col min="25" max="25" width="18.21875" style="8" customWidth="1"/>
    <col min="26" max="26" width="16.109375" style="8" customWidth="1"/>
    <col min="27" max="27" width="15.33203125" style="8" customWidth="1"/>
    <col min="28" max="28" width="14.6640625" style="8" customWidth="1"/>
    <col min="29" max="30" width="8.88671875" style="8"/>
    <col min="31" max="31" width="13.5546875" style="8" customWidth="1"/>
    <col min="32" max="16384" width="8.88671875" style="8"/>
  </cols>
  <sheetData>
    <row r="1" spans="1:28" x14ac:dyDescent="0.25">
      <c r="A1" s="7">
        <v>44565</v>
      </c>
    </row>
    <row r="2" spans="1:28" x14ac:dyDescent="0.25">
      <c r="A2" s="7">
        <v>44566</v>
      </c>
      <c r="C2" s="8" t="s">
        <v>135</v>
      </c>
      <c r="G2" s="8" t="s">
        <v>96</v>
      </c>
      <c r="J2" s="8" t="s">
        <v>95</v>
      </c>
      <c r="M2" s="8" t="s">
        <v>94</v>
      </c>
      <c r="Q2" s="8" t="s">
        <v>98</v>
      </c>
      <c r="T2" s="8" t="s">
        <v>108</v>
      </c>
      <c r="W2" s="8" t="s">
        <v>132</v>
      </c>
    </row>
    <row r="3" spans="1:28" x14ac:dyDescent="0.25">
      <c r="A3" s="7">
        <v>44567</v>
      </c>
      <c r="C3" s="8" t="s">
        <v>136</v>
      </c>
    </row>
    <row r="4" spans="1:28" x14ac:dyDescent="0.25">
      <c r="A4" s="7">
        <v>44568</v>
      </c>
      <c r="G4" s="9" t="s">
        <v>5</v>
      </c>
      <c r="H4" s="9" t="s">
        <v>92</v>
      </c>
      <c r="J4" s="9" t="s">
        <v>6</v>
      </c>
      <c r="K4" s="9" t="s">
        <v>13</v>
      </c>
      <c r="M4" s="9" t="s">
        <v>93</v>
      </c>
      <c r="N4" s="9" t="s">
        <v>97</v>
      </c>
      <c r="O4" s="9" t="s">
        <v>92</v>
      </c>
      <c r="Q4" s="8" t="s">
        <v>6</v>
      </c>
      <c r="R4" s="8" t="s">
        <v>9</v>
      </c>
      <c r="T4" s="8" t="s">
        <v>6</v>
      </c>
      <c r="U4" s="8" t="s">
        <v>13</v>
      </c>
      <c r="W4" s="8" t="s">
        <v>44</v>
      </c>
      <c r="Y4" s="9">
        <v>1</v>
      </c>
      <c r="Z4" s="9" t="s">
        <v>116</v>
      </c>
      <c r="AB4" s="8" t="s">
        <v>127</v>
      </c>
    </row>
    <row r="5" spans="1:28" x14ac:dyDescent="0.25">
      <c r="A5" s="7">
        <v>44569</v>
      </c>
      <c r="C5" s="9" t="s">
        <v>88</v>
      </c>
      <c r="D5" s="10">
        <f>MIN(A:A)</f>
        <v>44565</v>
      </c>
      <c r="E5" s="7"/>
      <c r="G5" s="11" t="s">
        <v>8</v>
      </c>
      <c r="H5" s="12">
        <v>35000</v>
      </c>
      <c r="M5" s="12">
        <v>20938.099999999991</v>
      </c>
      <c r="N5" s="12">
        <v>49440</v>
      </c>
      <c r="O5" s="12">
        <v>28501.900000000005</v>
      </c>
      <c r="W5" s="13">
        <v>1</v>
      </c>
      <c r="Y5" s="9">
        <v>2</v>
      </c>
      <c r="Z5" s="9" t="s">
        <v>117</v>
      </c>
      <c r="AB5" s="8" t="str">
        <f>IF(COUNTA(W5:W16)=1,VLOOKUP(W5,Y4:Z15,2,0),"Multiple months selected")</f>
        <v>Multiple months selected</v>
      </c>
    </row>
    <row r="6" spans="1:28" x14ac:dyDescent="0.25">
      <c r="A6" s="7">
        <v>44572</v>
      </c>
      <c r="C6" s="9" t="s">
        <v>89</v>
      </c>
      <c r="D6" s="10">
        <f>MAX(A:A)</f>
        <v>44773</v>
      </c>
      <c r="E6" s="7"/>
      <c r="G6" s="11" t="s">
        <v>28</v>
      </c>
      <c r="H6" s="12">
        <v>14440</v>
      </c>
      <c r="J6" s="9" t="s">
        <v>5</v>
      </c>
      <c r="K6" s="9" t="s">
        <v>93</v>
      </c>
      <c r="Q6" s="9" t="s">
        <v>4</v>
      </c>
      <c r="R6" s="9" t="s">
        <v>92</v>
      </c>
      <c r="T6" s="9" t="s">
        <v>5</v>
      </c>
      <c r="U6" s="9" t="s">
        <v>93</v>
      </c>
      <c r="W6" s="13">
        <v>2</v>
      </c>
      <c r="Y6" s="9">
        <v>3</v>
      </c>
      <c r="Z6" s="9" t="s">
        <v>118</v>
      </c>
    </row>
    <row r="7" spans="1:28" x14ac:dyDescent="0.25">
      <c r="A7" s="7">
        <v>44573</v>
      </c>
      <c r="G7" s="11" t="s">
        <v>14</v>
      </c>
      <c r="H7" s="12">
        <v>-10470.6</v>
      </c>
      <c r="J7" s="11" t="s">
        <v>16</v>
      </c>
      <c r="K7" s="12">
        <v>9819</v>
      </c>
      <c r="Q7" s="11" t="s">
        <v>47</v>
      </c>
      <c r="R7" s="12">
        <v>4500</v>
      </c>
      <c r="T7" s="11" t="s">
        <v>14</v>
      </c>
      <c r="U7" s="12">
        <v>10470.6</v>
      </c>
      <c r="W7" s="13">
        <v>3</v>
      </c>
      <c r="Y7" s="9">
        <v>4</v>
      </c>
      <c r="Z7" s="9" t="s">
        <v>119</v>
      </c>
    </row>
    <row r="8" spans="1:28" x14ac:dyDescent="0.25">
      <c r="A8" s="7">
        <v>44574</v>
      </c>
      <c r="G8" s="11" t="s">
        <v>22</v>
      </c>
      <c r="H8" s="12">
        <v>-4799.3000000000011</v>
      </c>
      <c r="J8" s="11" t="s">
        <v>24</v>
      </c>
      <c r="K8" s="12">
        <v>2849.7000000000007</v>
      </c>
      <c r="M8" s="14">
        <f>GETPIVOTDATA("Sum of Debit",$M$4)</f>
        <v>20938.099999999991</v>
      </c>
      <c r="N8" s="14">
        <f>GETPIVOTDATA("Sum of Credit",$M$4)</f>
        <v>49440</v>
      </c>
      <c r="O8" s="14">
        <f>GETPIVOTDATA("Sum of Amount",$M$4)</f>
        <v>28501.900000000005</v>
      </c>
      <c r="Q8" s="11" t="s">
        <v>49</v>
      </c>
      <c r="R8" s="12">
        <v>8140</v>
      </c>
      <c r="T8" s="11" t="s">
        <v>22</v>
      </c>
      <c r="U8" s="12">
        <v>4799.3000000000011</v>
      </c>
      <c r="W8" s="13">
        <v>4</v>
      </c>
      <c r="Y8" s="9">
        <v>5</v>
      </c>
      <c r="Z8" s="9" t="s">
        <v>113</v>
      </c>
    </row>
    <row r="9" spans="1:28" x14ac:dyDescent="0.25">
      <c r="A9" s="7">
        <v>44575</v>
      </c>
      <c r="G9" s="11" t="s">
        <v>15</v>
      </c>
      <c r="H9" s="12">
        <v>-1344.9</v>
      </c>
      <c r="J9" s="11" t="s">
        <v>21</v>
      </c>
      <c r="K9" s="12">
        <v>1197.3999999999999</v>
      </c>
      <c r="Q9" s="11" t="s">
        <v>57</v>
      </c>
      <c r="R9" s="12">
        <v>1800</v>
      </c>
      <c r="T9" s="11" t="s">
        <v>15</v>
      </c>
      <c r="U9" s="12">
        <v>1344.9</v>
      </c>
      <c r="W9" s="13">
        <v>5</v>
      </c>
      <c r="Y9" s="9">
        <v>6</v>
      </c>
      <c r="Z9" s="9" t="s">
        <v>120</v>
      </c>
    </row>
    <row r="10" spans="1:28" x14ac:dyDescent="0.25">
      <c r="A10" s="7">
        <v>44576</v>
      </c>
      <c r="G10" s="11" t="s">
        <v>90</v>
      </c>
      <c r="H10" s="12">
        <v>-1315.8000000000002</v>
      </c>
      <c r="J10" s="11" t="s">
        <v>71</v>
      </c>
      <c r="K10" s="12">
        <v>1050</v>
      </c>
      <c r="Q10" s="11" t="s">
        <v>64</v>
      </c>
      <c r="R10" s="12">
        <v>35000</v>
      </c>
      <c r="T10" s="11" t="s">
        <v>90</v>
      </c>
      <c r="U10" s="12">
        <v>1315.8000000000002</v>
      </c>
      <c r="W10" s="13">
        <v>6</v>
      </c>
      <c r="Y10" s="9">
        <v>7</v>
      </c>
      <c r="Z10" s="9" t="s">
        <v>121</v>
      </c>
    </row>
    <row r="11" spans="1:28" x14ac:dyDescent="0.25">
      <c r="A11" s="7">
        <v>44577</v>
      </c>
      <c r="G11" s="11" t="s">
        <v>12</v>
      </c>
      <c r="H11" s="12">
        <v>-1712.4999999999998</v>
      </c>
      <c r="J11" s="11" t="s">
        <v>35</v>
      </c>
      <c r="K11" s="12">
        <v>944.80000000000007</v>
      </c>
      <c r="Q11" s="11" t="s">
        <v>91</v>
      </c>
      <c r="R11" s="12">
        <v>49440</v>
      </c>
      <c r="T11" s="11" t="s">
        <v>12</v>
      </c>
      <c r="U11" s="12">
        <v>1712.5</v>
      </c>
      <c r="W11" s="13">
        <v>7</v>
      </c>
      <c r="Y11" s="9">
        <v>8</v>
      </c>
      <c r="Z11" s="9" t="s">
        <v>122</v>
      </c>
    </row>
    <row r="12" spans="1:28" x14ac:dyDescent="0.25">
      <c r="A12" s="7">
        <v>44578</v>
      </c>
      <c r="G12" s="11" t="s">
        <v>34</v>
      </c>
      <c r="H12" s="12">
        <v>-385</v>
      </c>
      <c r="J12" s="11" t="s">
        <v>91</v>
      </c>
      <c r="K12" s="12">
        <v>15860.900000000001</v>
      </c>
      <c r="T12" s="11" t="s">
        <v>34</v>
      </c>
      <c r="U12" s="12">
        <v>385</v>
      </c>
      <c r="Y12" s="9">
        <v>9</v>
      </c>
      <c r="Z12" s="9" t="s">
        <v>123</v>
      </c>
    </row>
    <row r="13" spans="1:28" x14ac:dyDescent="0.25">
      <c r="A13" s="7">
        <v>44579</v>
      </c>
      <c r="G13" s="11" t="s">
        <v>39</v>
      </c>
      <c r="H13" s="12">
        <v>-910</v>
      </c>
      <c r="T13" s="11" t="s">
        <v>39</v>
      </c>
      <c r="U13" s="12">
        <v>910</v>
      </c>
      <c r="Y13" s="9">
        <v>10</v>
      </c>
      <c r="Z13" s="9" t="s">
        <v>124</v>
      </c>
    </row>
    <row r="14" spans="1:28" x14ac:dyDescent="0.25">
      <c r="A14" s="7">
        <v>44580</v>
      </c>
      <c r="G14" s="11" t="s">
        <v>91</v>
      </c>
      <c r="H14" s="12">
        <v>28501.899999999998</v>
      </c>
      <c r="T14" s="11" t="s">
        <v>91</v>
      </c>
      <c r="U14" s="12">
        <v>20938.100000000002</v>
      </c>
      <c r="Y14" s="9">
        <v>11</v>
      </c>
      <c r="Z14" s="9" t="s">
        <v>125</v>
      </c>
    </row>
    <row r="15" spans="1:28" x14ac:dyDescent="0.25">
      <c r="A15" s="7">
        <v>44581</v>
      </c>
      <c r="Y15" s="9">
        <v>12</v>
      </c>
      <c r="Z15" s="9" t="s">
        <v>126</v>
      </c>
    </row>
    <row r="16" spans="1:28" x14ac:dyDescent="0.25">
      <c r="A16" s="7">
        <v>44582</v>
      </c>
    </row>
    <row r="17" spans="1:27" x14ac:dyDescent="0.25">
      <c r="A17" s="7">
        <v>44583</v>
      </c>
      <c r="G17" s="13" t="s">
        <v>99</v>
      </c>
      <c r="Q17" s="8" t="s">
        <v>133</v>
      </c>
      <c r="X17" s="8" t="s">
        <v>134</v>
      </c>
    </row>
    <row r="18" spans="1:27" x14ac:dyDescent="0.25">
      <c r="A18" s="7">
        <v>44584</v>
      </c>
    </row>
    <row r="19" spans="1:27" x14ac:dyDescent="0.25">
      <c r="A19" s="7">
        <v>44585</v>
      </c>
      <c r="G19" s="8" t="s">
        <v>6</v>
      </c>
      <c r="H19" s="8" t="s">
        <v>13</v>
      </c>
      <c r="Q19" s="9" t="s">
        <v>44</v>
      </c>
      <c r="R19" s="9" t="s">
        <v>93</v>
      </c>
      <c r="T19" s="9" t="s">
        <v>44</v>
      </c>
      <c r="U19" s="9" t="s">
        <v>92</v>
      </c>
      <c r="X19" s="8">
        <v>1</v>
      </c>
    </row>
    <row r="20" spans="1:27" x14ac:dyDescent="0.25">
      <c r="A20" s="7">
        <v>44586</v>
      </c>
      <c r="Q20" s="11">
        <v>1</v>
      </c>
      <c r="R20" s="12">
        <v>2924</v>
      </c>
      <c r="T20" s="11">
        <v>1</v>
      </c>
      <c r="U20" s="12">
        <v>11076</v>
      </c>
      <c r="X20" s="15" t="s">
        <v>44</v>
      </c>
      <c r="Y20" s="9" t="str">
        <f>IF(X19=1,R19,U19)</f>
        <v>Sum of Debit</v>
      </c>
      <c r="AA20" s="8" t="s">
        <v>130</v>
      </c>
    </row>
    <row r="21" spans="1:27" x14ac:dyDescent="0.25">
      <c r="A21" s="7">
        <v>44587</v>
      </c>
      <c r="G21" s="8" t="s">
        <v>93</v>
      </c>
      <c r="H21" s="8" t="s">
        <v>100</v>
      </c>
      <c r="Q21" s="11">
        <v>2</v>
      </c>
      <c r="R21" s="12">
        <v>3154.6000000000004</v>
      </c>
      <c r="T21" s="11">
        <v>2</v>
      </c>
      <c r="U21" s="12">
        <v>2645.3999999999996</v>
      </c>
      <c r="X21" s="11" t="s">
        <v>109</v>
      </c>
      <c r="Y21" s="9">
        <f>IF($X$19=1,R20,U20)</f>
        <v>2924</v>
      </c>
      <c r="AA21" s="8" t="str">
        <f>IF(X19=2,"Income selected, this can't be filtered","To view monthly expenses, filter by category")</f>
        <v>To view monthly expenses, filter by category</v>
      </c>
    </row>
    <row r="22" spans="1:27" x14ac:dyDescent="0.25">
      <c r="A22" s="7">
        <v>44588</v>
      </c>
      <c r="G22" s="9" t="s">
        <v>45</v>
      </c>
      <c r="H22" s="9" t="s">
        <v>14</v>
      </c>
      <c r="I22" s="9" t="s">
        <v>22</v>
      </c>
      <c r="J22" s="9" t="s">
        <v>15</v>
      </c>
      <c r="K22" s="9" t="s">
        <v>90</v>
      </c>
      <c r="L22" s="9" t="s">
        <v>12</v>
      </c>
      <c r="M22" s="9" t="s">
        <v>34</v>
      </c>
      <c r="N22" s="9" t="s">
        <v>39</v>
      </c>
      <c r="O22" s="9" t="s">
        <v>91</v>
      </c>
      <c r="Q22" s="11">
        <v>3</v>
      </c>
      <c r="R22" s="12">
        <v>2899.7</v>
      </c>
      <c r="T22" s="11">
        <v>3</v>
      </c>
      <c r="U22" s="12">
        <v>3100.2999999999993</v>
      </c>
      <c r="X22" s="11" t="s">
        <v>110</v>
      </c>
      <c r="Y22" s="9">
        <f>IF($X$19=1,R21,U21)</f>
        <v>3154.6000000000004</v>
      </c>
    </row>
    <row r="23" spans="1:27" x14ac:dyDescent="0.25">
      <c r="A23" s="7">
        <v>44589</v>
      </c>
      <c r="G23" s="11" t="s">
        <v>101</v>
      </c>
      <c r="H23" s="12">
        <v>56.1</v>
      </c>
      <c r="I23" s="12">
        <v>1518.8000000000002</v>
      </c>
      <c r="J23" s="12">
        <v>207.90000000000003</v>
      </c>
      <c r="K23" s="12"/>
      <c r="L23" s="12">
        <v>369.09999999999997</v>
      </c>
      <c r="M23" s="12">
        <v>55</v>
      </c>
      <c r="N23" s="12">
        <v>150</v>
      </c>
      <c r="O23" s="12">
        <v>2356.9</v>
      </c>
      <c r="Q23" s="11">
        <v>4</v>
      </c>
      <c r="R23" s="12">
        <v>2898</v>
      </c>
      <c r="T23" s="11">
        <v>4</v>
      </c>
      <c r="U23" s="12">
        <v>4442</v>
      </c>
      <c r="X23" s="11" t="s">
        <v>111</v>
      </c>
      <c r="Y23" s="9">
        <f>IF(X19=1,R22,U22)</f>
        <v>2899.7</v>
      </c>
    </row>
    <row r="24" spans="1:27" x14ac:dyDescent="0.25">
      <c r="A24" s="7">
        <v>44590</v>
      </c>
      <c r="G24" s="11" t="s">
        <v>102</v>
      </c>
      <c r="H24" s="12">
        <v>754.19999999999993</v>
      </c>
      <c r="I24" s="12">
        <v>438.20000000000005</v>
      </c>
      <c r="J24" s="12">
        <v>226</v>
      </c>
      <c r="K24" s="12"/>
      <c r="L24" s="12">
        <v>118.9</v>
      </c>
      <c r="M24" s="12">
        <v>55</v>
      </c>
      <c r="N24" s="12">
        <v>50</v>
      </c>
      <c r="O24" s="12">
        <v>1642.3000000000002</v>
      </c>
      <c r="Q24" s="11">
        <v>5</v>
      </c>
      <c r="R24" s="12">
        <v>3091.1</v>
      </c>
      <c r="T24" s="11">
        <v>5</v>
      </c>
      <c r="U24" s="12">
        <v>2908.9</v>
      </c>
      <c r="X24" s="11" t="s">
        <v>112</v>
      </c>
      <c r="Y24" s="9">
        <f>IF(X19=1,R23,U23)</f>
        <v>2898</v>
      </c>
    </row>
    <row r="25" spans="1:27" x14ac:dyDescent="0.25">
      <c r="A25" s="7">
        <v>44591</v>
      </c>
      <c r="G25" s="11" t="s">
        <v>103</v>
      </c>
      <c r="H25" s="12">
        <v>2562.3000000000002</v>
      </c>
      <c r="I25" s="12">
        <v>441.20000000000005</v>
      </c>
      <c r="J25" s="12">
        <v>275.2</v>
      </c>
      <c r="K25" s="12">
        <v>402.9</v>
      </c>
      <c r="L25" s="12">
        <v>274</v>
      </c>
      <c r="M25" s="12">
        <v>165</v>
      </c>
      <c r="N25" s="12">
        <v>75</v>
      </c>
      <c r="O25" s="12">
        <v>4195.6000000000004</v>
      </c>
      <c r="Q25" s="11">
        <v>6</v>
      </c>
      <c r="R25" s="12">
        <v>2775.7</v>
      </c>
      <c r="T25" s="11">
        <v>6</v>
      </c>
      <c r="U25" s="12">
        <v>2324.3000000000002</v>
      </c>
      <c r="X25" s="11" t="s">
        <v>113</v>
      </c>
      <c r="Y25" s="9">
        <f>IF($X$19=1,R24,U24)</f>
        <v>3091.1</v>
      </c>
    </row>
    <row r="26" spans="1:27" x14ac:dyDescent="0.25">
      <c r="A26" s="7">
        <v>44592</v>
      </c>
      <c r="G26" s="11" t="s">
        <v>104</v>
      </c>
      <c r="H26" s="12">
        <v>2370</v>
      </c>
      <c r="I26" s="12">
        <v>805.7</v>
      </c>
      <c r="J26" s="12">
        <v>142.30000000000001</v>
      </c>
      <c r="K26" s="12">
        <v>450</v>
      </c>
      <c r="L26" s="12">
        <v>237.1</v>
      </c>
      <c r="M26" s="12"/>
      <c r="N26" s="12">
        <v>625</v>
      </c>
      <c r="O26" s="12">
        <v>4630.1000000000004</v>
      </c>
      <c r="Q26" s="11">
        <v>7</v>
      </c>
      <c r="R26" s="12">
        <v>3195</v>
      </c>
      <c r="T26" s="11">
        <v>7</v>
      </c>
      <c r="U26" s="12">
        <v>2005.0000000000002</v>
      </c>
      <c r="X26" s="11" t="s">
        <v>114</v>
      </c>
      <c r="Y26" s="9">
        <f>IF($X$19=1,R25,U25)</f>
        <v>2775.7</v>
      </c>
    </row>
    <row r="27" spans="1:27" x14ac:dyDescent="0.25">
      <c r="A27" s="7">
        <v>44593</v>
      </c>
      <c r="G27" s="11" t="s">
        <v>105</v>
      </c>
      <c r="H27" s="12">
        <v>745.1</v>
      </c>
      <c r="I27" s="12">
        <v>387.79999999999995</v>
      </c>
      <c r="J27" s="12">
        <v>281.89999999999998</v>
      </c>
      <c r="K27" s="12"/>
      <c r="L27" s="12">
        <v>217.1</v>
      </c>
      <c r="M27" s="12">
        <v>55</v>
      </c>
      <c r="N27" s="12"/>
      <c r="O27" s="12">
        <v>1686.9</v>
      </c>
      <c r="Q27" s="11" t="s">
        <v>91</v>
      </c>
      <c r="R27" s="12">
        <v>20938.099999999999</v>
      </c>
      <c r="T27" s="11" t="s">
        <v>91</v>
      </c>
      <c r="U27" s="12">
        <v>28501.899999999998</v>
      </c>
      <c r="X27" s="11" t="s">
        <v>115</v>
      </c>
      <c r="Y27" s="9">
        <f>IF($X$19=1,R26,U26)</f>
        <v>3195</v>
      </c>
    </row>
    <row r="28" spans="1:27" x14ac:dyDescent="0.25">
      <c r="A28" s="7">
        <v>44594</v>
      </c>
      <c r="G28" s="11" t="s">
        <v>106</v>
      </c>
      <c r="H28" s="12">
        <v>1392.1</v>
      </c>
      <c r="I28" s="12">
        <v>461.8</v>
      </c>
      <c r="J28" s="12">
        <v>66</v>
      </c>
      <c r="K28" s="12">
        <v>150</v>
      </c>
      <c r="L28" s="12">
        <v>256.10000000000002</v>
      </c>
      <c r="M28" s="12">
        <v>55</v>
      </c>
      <c r="N28" s="12">
        <v>10</v>
      </c>
      <c r="O28" s="12">
        <v>2390.9999999999995</v>
      </c>
      <c r="X28" s="9" t="s">
        <v>131</v>
      </c>
      <c r="Y28" s="12">
        <f>SUM(Y21:Y27)</f>
        <v>20938.099999999999</v>
      </c>
    </row>
    <row r="29" spans="1:27" x14ac:dyDescent="0.25">
      <c r="A29" s="7">
        <v>44595</v>
      </c>
      <c r="G29" s="11" t="s">
        <v>107</v>
      </c>
      <c r="H29" s="12">
        <v>2590.8000000000002</v>
      </c>
      <c r="I29" s="12">
        <v>745.80000000000007</v>
      </c>
      <c r="J29" s="12">
        <v>145.60000000000002</v>
      </c>
      <c r="K29" s="12">
        <v>312.89999999999998</v>
      </c>
      <c r="L29" s="12">
        <v>240.2</v>
      </c>
      <c r="M29" s="12"/>
      <c r="N29" s="12"/>
      <c r="O29" s="12">
        <v>4035.3</v>
      </c>
    </row>
    <row r="30" spans="1:27" x14ac:dyDescent="0.25">
      <c r="A30" s="7">
        <v>44596</v>
      </c>
      <c r="G30" s="11" t="s">
        <v>91</v>
      </c>
      <c r="H30" s="12">
        <v>10470.600000000002</v>
      </c>
      <c r="I30" s="12">
        <v>4799.3000000000011</v>
      </c>
      <c r="J30" s="12">
        <v>1344.9</v>
      </c>
      <c r="K30" s="12">
        <v>1315.8</v>
      </c>
      <c r="L30" s="12">
        <v>1712.5000000000002</v>
      </c>
      <c r="M30" s="12">
        <v>385</v>
      </c>
      <c r="N30" s="12">
        <v>910</v>
      </c>
      <c r="O30" s="12">
        <v>20938.099999999999</v>
      </c>
    </row>
    <row r="31" spans="1:27" x14ac:dyDescent="0.25">
      <c r="A31" s="7">
        <v>44597</v>
      </c>
    </row>
    <row r="32" spans="1:27" x14ac:dyDescent="0.25">
      <c r="A32" s="7">
        <v>44600</v>
      </c>
    </row>
    <row r="33" spans="1:1" x14ac:dyDescent="0.25">
      <c r="A33" s="7">
        <v>44601</v>
      </c>
    </row>
    <row r="34" spans="1:1" x14ac:dyDescent="0.25">
      <c r="A34" s="7">
        <v>44602</v>
      </c>
    </row>
    <row r="35" spans="1:1" x14ac:dyDescent="0.25">
      <c r="A35" s="7">
        <v>44603</v>
      </c>
    </row>
    <row r="36" spans="1:1" x14ac:dyDescent="0.25">
      <c r="A36" s="7">
        <v>44604</v>
      </c>
    </row>
    <row r="37" spans="1:1" x14ac:dyDescent="0.25">
      <c r="A37" s="7">
        <v>44605</v>
      </c>
    </row>
    <row r="38" spans="1:1" x14ac:dyDescent="0.25">
      <c r="A38" s="7">
        <v>44606</v>
      </c>
    </row>
    <row r="39" spans="1:1" x14ac:dyDescent="0.25">
      <c r="A39" s="7">
        <v>44607</v>
      </c>
    </row>
    <row r="40" spans="1:1" x14ac:dyDescent="0.25">
      <c r="A40" s="7">
        <v>44608</v>
      </c>
    </row>
    <row r="41" spans="1:1" x14ac:dyDescent="0.25">
      <c r="A41" s="7">
        <v>44609</v>
      </c>
    </row>
    <row r="42" spans="1:1" x14ac:dyDescent="0.25">
      <c r="A42" s="7">
        <v>44610</v>
      </c>
    </row>
    <row r="43" spans="1:1" x14ac:dyDescent="0.25">
      <c r="A43" s="7">
        <v>44611</v>
      </c>
    </row>
    <row r="44" spans="1:1" x14ac:dyDescent="0.25">
      <c r="A44" s="7">
        <v>44612</v>
      </c>
    </row>
    <row r="45" spans="1:1" x14ac:dyDescent="0.25">
      <c r="A45" s="7">
        <v>44613</v>
      </c>
    </row>
    <row r="46" spans="1:1" x14ac:dyDescent="0.25">
      <c r="A46" s="7">
        <v>44614</v>
      </c>
    </row>
    <row r="47" spans="1:1" x14ac:dyDescent="0.25">
      <c r="A47" s="7">
        <v>44615</v>
      </c>
    </row>
    <row r="48" spans="1:1" x14ac:dyDescent="0.25">
      <c r="A48" s="7">
        <v>44616</v>
      </c>
    </row>
    <row r="49" spans="1:18" x14ac:dyDescent="0.25">
      <c r="A49" s="7">
        <v>44617</v>
      </c>
    </row>
    <row r="50" spans="1:18" x14ac:dyDescent="0.25">
      <c r="A50" s="7">
        <v>44618</v>
      </c>
    </row>
    <row r="51" spans="1:18" x14ac:dyDescent="0.25">
      <c r="A51" s="7">
        <v>44619</v>
      </c>
    </row>
    <row r="52" spans="1:18" x14ac:dyDescent="0.25">
      <c r="A52" s="7">
        <v>44620</v>
      </c>
    </row>
    <row r="53" spans="1:18" x14ac:dyDescent="0.25">
      <c r="A53" s="7">
        <v>44621</v>
      </c>
    </row>
    <row r="54" spans="1:18" x14ac:dyDescent="0.25">
      <c r="A54" s="7">
        <v>44622</v>
      </c>
    </row>
    <row r="55" spans="1:18" x14ac:dyDescent="0.25">
      <c r="A55" s="7">
        <v>44623</v>
      </c>
    </row>
    <row r="56" spans="1:18" x14ac:dyDescent="0.25">
      <c r="A56" s="7">
        <v>44624</v>
      </c>
      <c r="Q56" s="16" t="s">
        <v>5</v>
      </c>
      <c r="R56" s="16" t="s">
        <v>93</v>
      </c>
    </row>
    <row r="57" spans="1:18" x14ac:dyDescent="0.25">
      <c r="A57" s="7">
        <v>44625</v>
      </c>
      <c r="Q57" s="13" t="s">
        <v>14</v>
      </c>
      <c r="R57" s="14">
        <v>10470.6</v>
      </c>
    </row>
    <row r="58" spans="1:18" x14ac:dyDescent="0.25">
      <c r="A58" s="7">
        <v>44628</v>
      </c>
      <c r="Q58" s="13" t="s">
        <v>22</v>
      </c>
      <c r="R58" s="14">
        <v>4799.3000000000011</v>
      </c>
    </row>
    <row r="59" spans="1:18" x14ac:dyDescent="0.25">
      <c r="A59" s="7">
        <v>44629</v>
      </c>
      <c r="Q59" s="13" t="s">
        <v>15</v>
      </c>
      <c r="R59" s="14">
        <v>1344.9</v>
      </c>
    </row>
    <row r="60" spans="1:18" x14ac:dyDescent="0.25">
      <c r="A60" s="7">
        <v>44630</v>
      </c>
      <c r="Q60" s="13" t="s">
        <v>90</v>
      </c>
      <c r="R60" s="14">
        <v>1315.8000000000002</v>
      </c>
    </row>
    <row r="61" spans="1:18" x14ac:dyDescent="0.25">
      <c r="A61" s="7">
        <v>44631</v>
      </c>
      <c r="Q61" s="13" t="s">
        <v>12</v>
      </c>
      <c r="R61" s="14">
        <v>1712.5</v>
      </c>
    </row>
    <row r="62" spans="1:18" x14ac:dyDescent="0.25">
      <c r="A62" s="7">
        <v>44632</v>
      </c>
      <c r="Q62" s="13" t="s">
        <v>34</v>
      </c>
      <c r="R62" s="14">
        <v>385</v>
      </c>
    </row>
    <row r="63" spans="1:18" x14ac:dyDescent="0.25">
      <c r="A63" s="7">
        <v>44633</v>
      </c>
      <c r="Q63" s="13" t="s">
        <v>39</v>
      </c>
      <c r="R63" s="14">
        <v>150</v>
      </c>
    </row>
    <row r="64" spans="1:18" x14ac:dyDescent="0.25">
      <c r="A64" s="7">
        <v>44634</v>
      </c>
      <c r="Q64" s="17" t="s">
        <v>91</v>
      </c>
      <c r="R64" s="18">
        <v>20178.100000000002</v>
      </c>
    </row>
    <row r="65" spans="1:8" x14ac:dyDescent="0.25">
      <c r="A65" s="7">
        <v>44635</v>
      </c>
      <c r="G65" s="19" t="s">
        <v>6</v>
      </c>
      <c r="H65" s="19" t="s">
        <v>9</v>
      </c>
    </row>
    <row r="66" spans="1:8" x14ac:dyDescent="0.25">
      <c r="A66" s="7">
        <v>44636</v>
      </c>
    </row>
    <row r="67" spans="1:8" x14ac:dyDescent="0.25">
      <c r="A67" s="7">
        <v>44637</v>
      </c>
      <c r="G67" s="19" t="s">
        <v>5</v>
      </c>
      <c r="H67" s="19" t="s">
        <v>92</v>
      </c>
    </row>
    <row r="68" spans="1:8" x14ac:dyDescent="0.25">
      <c r="A68" s="7">
        <v>44638</v>
      </c>
      <c r="G68" s="13" t="s">
        <v>47</v>
      </c>
      <c r="H68" s="14">
        <v>4500</v>
      </c>
    </row>
    <row r="69" spans="1:8" x14ac:dyDescent="0.25">
      <c r="A69" s="7">
        <v>44639</v>
      </c>
      <c r="G69" s="13" t="s">
        <v>49</v>
      </c>
      <c r="H69" s="14">
        <v>8140</v>
      </c>
    </row>
    <row r="70" spans="1:8" x14ac:dyDescent="0.25">
      <c r="A70" s="7">
        <v>44640</v>
      </c>
      <c r="G70" s="13" t="s">
        <v>57</v>
      </c>
      <c r="H70" s="14">
        <v>1800</v>
      </c>
    </row>
    <row r="71" spans="1:8" x14ac:dyDescent="0.25">
      <c r="A71" s="7">
        <v>44641</v>
      </c>
      <c r="G71" s="13" t="s">
        <v>64</v>
      </c>
      <c r="H71" s="14">
        <v>35000</v>
      </c>
    </row>
    <row r="72" spans="1:8" x14ac:dyDescent="0.25">
      <c r="A72" s="7">
        <v>44642</v>
      </c>
      <c r="G72" s="20" t="s">
        <v>91</v>
      </c>
      <c r="H72" s="21">
        <v>49440</v>
      </c>
    </row>
    <row r="73" spans="1:8" x14ac:dyDescent="0.25">
      <c r="A73" s="7">
        <v>44643</v>
      </c>
    </row>
    <row r="74" spans="1:8" x14ac:dyDescent="0.25">
      <c r="A74" s="7">
        <v>44644</v>
      </c>
    </row>
    <row r="75" spans="1:8" x14ac:dyDescent="0.25">
      <c r="A75" s="7">
        <v>44645</v>
      </c>
    </row>
    <row r="76" spans="1:8" x14ac:dyDescent="0.25">
      <c r="A76" s="7">
        <v>44646</v>
      </c>
    </row>
    <row r="77" spans="1:8" x14ac:dyDescent="0.25">
      <c r="A77" s="7">
        <v>44647</v>
      </c>
    </row>
    <row r="78" spans="1:8" x14ac:dyDescent="0.25">
      <c r="A78" s="7">
        <v>44648</v>
      </c>
    </row>
    <row r="79" spans="1:8" x14ac:dyDescent="0.25">
      <c r="A79" s="7">
        <v>44649</v>
      </c>
    </row>
    <row r="80" spans="1:8" x14ac:dyDescent="0.25">
      <c r="A80" s="7">
        <v>44650</v>
      </c>
    </row>
    <row r="81" spans="1:1" x14ac:dyDescent="0.25">
      <c r="A81" s="7">
        <v>44651</v>
      </c>
    </row>
    <row r="82" spans="1:1" x14ac:dyDescent="0.25">
      <c r="A82" s="7">
        <v>44652</v>
      </c>
    </row>
    <row r="83" spans="1:1" x14ac:dyDescent="0.25">
      <c r="A83" s="7">
        <v>44653</v>
      </c>
    </row>
    <row r="84" spans="1:1" x14ac:dyDescent="0.25">
      <c r="A84" s="7">
        <v>44654</v>
      </c>
    </row>
    <row r="85" spans="1:1" x14ac:dyDescent="0.25">
      <c r="A85" s="7">
        <v>44655</v>
      </c>
    </row>
    <row r="86" spans="1:1" x14ac:dyDescent="0.25">
      <c r="A86" s="7">
        <v>44656</v>
      </c>
    </row>
    <row r="87" spans="1:1" x14ac:dyDescent="0.25">
      <c r="A87" s="7">
        <v>44659</v>
      </c>
    </row>
    <row r="88" spans="1:1" x14ac:dyDescent="0.25">
      <c r="A88" s="7">
        <v>44660</v>
      </c>
    </row>
    <row r="89" spans="1:1" x14ac:dyDescent="0.25">
      <c r="A89" s="7">
        <v>44661</v>
      </c>
    </row>
    <row r="90" spans="1:1" x14ac:dyDescent="0.25">
      <c r="A90" s="7">
        <v>44662</v>
      </c>
    </row>
    <row r="91" spans="1:1" x14ac:dyDescent="0.25">
      <c r="A91" s="7">
        <v>44663</v>
      </c>
    </row>
    <row r="92" spans="1:1" x14ac:dyDescent="0.25">
      <c r="A92" s="7">
        <v>44664</v>
      </c>
    </row>
    <row r="93" spans="1:1" x14ac:dyDescent="0.25">
      <c r="A93" s="7">
        <v>44665</v>
      </c>
    </row>
    <row r="94" spans="1:1" x14ac:dyDescent="0.25">
      <c r="A94" s="7">
        <v>44666</v>
      </c>
    </row>
    <row r="95" spans="1:1" x14ac:dyDescent="0.25">
      <c r="A95" s="7">
        <v>44667</v>
      </c>
    </row>
    <row r="96" spans="1:1" x14ac:dyDescent="0.25">
      <c r="A96" s="7">
        <v>44668</v>
      </c>
    </row>
    <row r="97" spans="1:1" x14ac:dyDescent="0.25">
      <c r="A97" s="7">
        <v>44669</v>
      </c>
    </row>
    <row r="98" spans="1:1" x14ac:dyDescent="0.25">
      <c r="A98" s="7">
        <v>44670</v>
      </c>
    </row>
    <row r="99" spans="1:1" x14ac:dyDescent="0.25">
      <c r="A99" s="7">
        <v>44671</v>
      </c>
    </row>
    <row r="100" spans="1:1" x14ac:dyDescent="0.25">
      <c r="A100" s="7">
        <v>44672</v>
      </c>
    </row>
    <row r="101" spans="1:1" x14ac:dyDescent="0.25">
      <c r="A101" s="7">
        <v>44673</v>
      </c>
    </row>
    <row r="102" spans="1:1" x14ac:dyDescent="0.25">
      <c r="A102" s="7">
        <v>44674</v>
      </c>
    </row>
    <row r="103" spans="1:1" x14ac:dyDescent="0.25">
      <c r="A103" s="7">
        <v>44675</v>
      </c>
    </row>
    <row r="104" spans="1:1" x14ac:dyDescent="0.25">
      <c r="A104" s="7">
        <v>44676</v>
      </c>
    </row>
    <row r="105" spans="1:1" x14ac:dyDescent="0.25">
      <c r="A105" s="7">
        <v>44677</v>
      </c>
    </row>
    <row r="106" spans="1:1" x14ac:dyDescent="0.25">
      <c r="A106" s="7">
        <v>44678</v>
      </c>
    </row>
    <row r="107" spans="1:1" x14ac:dyDescent="0.25">
      <c r="A107" s="7">
        <v>44679</v>
      </c>
    </row>
    <row r="108" spans="1:1" x14ac:dyDescent="0.25">
      <c r="A108" s="7">
        <v>44680</v>
      </c>
    </row>
    <row r="109" spans="1:1" x14ac:dyDescent="0.25">
      <c r="A109" s="7">
        <v>44681</v>
      </c>
    </row>
    <row r="110" spans="1:1" x14ac:dyDescent="0.25">
      <c r="A110" s="7">
        <v>44683</v>
      </c>
    </row>
    <row r="111" spans="1:1" x14ac:dyDescent="0.25">
      <c r="A111" s="7">
        <v>44684</v>
      </c>
    </row>
    <row r="112" spans="1:1" x14ac:dyDescent="0.25">
      <c r="A112" s="7">
        <v>44685</v>
      </c>
    </row>
    <row r="113" spans="1:1" x14ac:dyDescent="0.25">
      <c r="A113" s="7">
        <v>44686</v>
      </c>
    </row>
    <row r="114" spans="1:1" x14ac:dyDescent="0.25">
      <c r="A114" s="7">
        <v>44687</v>
      </c>
    </row>
    <row r="115" spans="1:1" x14ac:dyDescent="0.25">
      <c r="A115" s="7">
        <v>44690</v>
      </c>
    </row>
    <row r="116" spans="1:1" x14ac:dyDescent="0.25">
      <c r="A116" s="7">
        <v>44691</v>
      </c>
    </row>
    <row r="117" spans="1:1" x14ac:dyDescent="0.25">
      <c r="A117" s="7">
        <v>44692</v>
      </c>
    </row>
    <row r="118" spans="1:1" x14ac:dyDescent="0.25">
      <c r="A118" s="7">
        <v>44693</v>
      </c>
    </row>
    <row r="119" spans="1:1" x14ac:dyDescent="0.25">
      <c r="A119" s="7">
        <v>44694</v>
      </c>
    </row>
    <row r="120" spans="1:1" x14ac:dyDescent="0.25">
      <c r="A120" s="7">
        <v>44695</v>
      </c>
    </row>
    <row r="121" spans="1:1" x14ac:dyDescent="0.25">
      <c r="A121" s="7">
        <v>44696</v>
      </c>
    </row>
    <row r="122" spans="1:1" x14ac:dyDescent="0.25">
      <c r="A122" s="7">
        <v>44697</v>
      </c>
    </row>
    <row r="123" spans="1:1" x14ac:dyDescent="0.25">
      <c r="A123" s="7">
        <v>44698</v>
      </c>
    </row>
    <row r="124" spans="1:1" x14ac:dyDescent="0.25">
      <c r="A124" s="7">
        <v>44699</v>
      </c>
    </row>
    <row r="125" spans="1:1" x14ac:dyDescent="0.25">
      <c r="A125" s="7">
        <v>44700</v>
      </c>
    </row>
    <row r="126" spans="1:1" x14ac:dyDescent="0.25">
      <c r="A126" s="7">
        <v>44701</v>
      </c>
    </row>
    <row r="127" spans="1:1" x14ac:dyDescent="0.25">
      <c r="A127" s="7">
        <v>44702</v>
      </c>
    </row>
    <row r="128" spans="1:1" x14ac:dyDescent="0.25">
      <c r="A128" s="7">
        <v>44703</v>
      </c>
    </row>
    <row r="129" spans="1:1" x14ac:dyDescent="0.25">
      <c r="A129" s="7">
        <v>44704</v>
      </c>
    </row>
    <row r="130" spans="1:1" x14ac:dyDescent="0.25">
      <c r="A130" s="7">
        <v>44705</v>
      </c>
    </row>
    <row r="131" spans="1:1" x14ac:dyDescent="0.25">
      <c r="A131" s="7">
        <v>44706</v>
      </c>
    </row>
    <row r="132" spans="1:1" x14ac:dyDescent="0.25">
      <c r="A132" s="7">
        <v>44707</v>
      </c>
    </row>
    <row r="133" spans="1:1" x14ac:dyDescent="0.25">
      <c r="A133" s="7">
        <v>44708</v>
      </c>
    </row>
    <row r="134" spans="1:1" x14ac:dyDescent="0.25">
      <c r="A134" s="7">
        <v>44709</v>
      </c>
    </row>
    <row r="135" spans="1:1" x14ac:dyDescent="0.25">
      <c r="A135" s="7">
        <v>44710</v>
      </c>
    </row>
    <row r="136" spans="1:1" x14ac:dyDescent="0.25">
      <c r="A136" s="7">
        <v>44712</v>
      </c>
    </row>
    <row r="137" spans="1:1" x14ac:dyDescent="0.25">
      <c r="A137" s="7">
        <v>44711</v>
      </c>
    </row>
    <row r="138" spans="1:1" x14ac:dyDescent="0.25">
      <c r="A138" s="7">
        <v>44713</v>
      </c>
    </row>
    <row r="139" spans="1:1" x14ac:dyDescent="0.25">
      <c r="A139" s="7">
        <v>44715</v>
      </c>
    </row>
    <row r="140" spans="1:1" x14ac:dyDescent="0.25">
      <c r="A140" s="7">
        <v>44716</v>
      </c>
    </row>
    <row r="141" spans="1:1" x14ac:dyDescent="0.25">
      <c r="A141" s="7">
        <v>44717</v>
      </c>
    </row>
    <row r="142" spans="1:1" x14ac:dyDescent="0.25">
      <c r="A142" s="7">
        <v>44718</v>
      </c>
    </row>
    <row r="143" spans="1:1" x14ac:dyDescent="0.25">
      <c r="A143" s="7">
        <v>44721</v>
      </c>
    </row>
    <row r="144" spans="1:1" x14ac:dyDescent="0.25">
      <c r="A144" s="7">
        <v>44722</v>
      </c>
    </row>
    <row r="145" spans="1:1" x14ac:dyDescent="0.25">
      <c r="A145" s="7">
        <v>44723</v>
      </c>
    </row>
    <row r="146" spans="1:1" x14ac:dyDescent="0.25">
      <c r="A146" s="7">
        <v>44724</v>
      </c>
    </row>
    <row r="147" spans="1:1" x14ac:dyDescent="0.25">
      <c r="A147" s="7">
        <v>44725</v>
      </c>
    </row>
    <row r="148" spans="1:1" x14ac:dyDescent="0.25">
      <c r="A148" s="7">
        <v>44726</v>
      </c>
    </row>
    <row r="149" spans="1:1" x14ac:dyDescent="0.25">
      <c r="A149" s="7">
        <v>44727</v>
      </c>
    </row>
    <row r="150" spans="1:1" x14ac:dyDescent="0.25">
      <c r="A150" s="7">
        <v>44728</v>
      </c>
    </row>
    <row r="151" spans="1:1" x14ac:dyDescent="0.25">
      <c r="A151" s="7">
        <v>44729</v>
      </c>
    </row>
    <row r="152" spans="1:1" x14ac:dyDescent="0.25">
      <c r="A152" s="7">
        <v>44730</v>
      </c>
    </row>
    <row r="153" spans="1:1" x14ac:dyDescent="0.25">
      <c r="A153" s="7">
        <v>44731</v>
      </c>
    </row>
    <row r="154" spans="1:1" x14ac:dyDescent="0.25">
      <c r="A154" s="7">
        <v>44732</v>
      </c>
    </row>
    <row r="155" spans="1:1" x14ac:dyDescent="0.25">
      <c r="A155" s="7">
        <v>44733</v>
      </c>
    </row>
    <row r="156" spans="1:1" x14ac:dyDescent="0.25">
      <c r="A156" s="7">
        <v>44734</v>
      </c>
    </row>
    <row r="157" spans="1:1" x14ac:dyDescent="0.25">
      <c r="A157" s="7">
        <v>44735</v>
      </c>
    </row>
    <row r="158" spans="1:1" x14ac:dyDescent="0.25">
      <c r="A158" s="7">
        <v>44736</v>
      </c>
    </row>
    <row r="159" spans="1:1" x14ac:dyDescent="0.25">
      <c r="A159" s="7">
        <v>44737</v>
      </c>
    </row>
    <row r="160" spans="1:1" x14ac:dyDescent="0.25">
      <c r="A160" s="7">
        <v>44738</v>
      </c>
    </row>
    <row r="161" spans="1:1" x14ac:dyDescent="0.25">
      <c r="A161" s="7">
        <v>44739</v>
      </c>
    </row>
    <row r="162" spans="1:1" x14ac:dyDescent="0.25">
      <c r="A162" s="7">
        <v>44740</v>
      </c>
    </row>
    <row r="163" spans="1:1" x14ac:dyDescent="0.25">
      <c r="A163" s="7">
        <v>44741</v>
      </c>
    </row>
    <row r="164" spans="1:1" x14ac:dyDescent="0.25">
      <c r="A164" s="7">
        <v>44742</v>
      </c>
    </row>
    <row r="165" spans="1:1" x14ac:dyDescent="0.25">
      <c r="A165" s="7">
        <v>44743</v>
      </c>
    </row>
    <row r="166" spans="1:1" x14ac:dyDescent="0.25">
      <c r="A166" s="7">
        <v>44744</v>
      </c>
    </row>
    <row r="167" spans="1:1" x14ac:dyDescent="0.25">
      <c r="A167" s="7">
        <v>44745</v>
      </c>
    </row>
    <row r="168" spans="1:1" x14ac:dyDescent="0.25">
      <c r="A168" s="7">
        <v>44747</v>
      </c>
    </row>
    <row r="169" spans="1:1" x14ac:dyDescent="0.25">
      <c r="A169" s="7">
        <v>44748</v>
      </c>
    </row>
    <row r="170" spans="1:1" x14ac:dyDescent="0.25">
      <c r="A170" s="7">
        <v>44749</v>
      </c>
    </row>
    <row r="171" spans="1:1" x14ac:dyDescent="0.25">
      <c r="A171" s="7">
        <v>44752</v>
      </c>
    </row>
    <row r="172" spans="1:1" x14ac:dyDescent="0.25">
      <c r="A172" s="7">
        <v>44753</v>
      </c>
    </row>
    <row r="173" spans="1:1" x14ac:dyDescent="0.25">
      <c r="A173" s="7">
        <v>44754</v>
      </c>
    </row>
    <row r="174" spans="1:1" x14ac:dyDescent="0.25">
      <c r="A174" s="7">
        <v>44755</v>
      </c>
    </row>
    <row r="175" spans="1:1" x14ac:dyDescent="0.25">
      <c r="A175" s="7">
        <v>44756</v>
      </c>
    </row>
    <row r="176" spans="1:1" x14ac:dyDescent="0.25">
      <c r="A176" s="7">
        <v>44757</v>
      </c>
    </row>
    <row r="177" spans="1:1" x14ac:dyDescent="0.25">
      <c r="A177" s="7">
        <v>44758</v>
      </c>
    </row>
    <row r="178" spans="1:1" x14ac:dyDescent="0.25">
      <c r="A178" s="7">
        <v>44759</v>
      </c>
    </row>
    <row r="179" spans="1:1" x14ac:dyDescent="0.25">
      <c r="A179" s="7">
        <v>44760</v>
      </c>
    </row>
    <row r="180" spans="1:1" x14ac:dyDescent="0.25">
      <c r="A180" s="7">
        <v>44761</v>
      </c>
    </row>
    <row r="181" spans="1:1" x14ac:dyDescent="0.25">
      <c r="A181" s="7">
        <v>44762</v>
      </c>
    </row>
    <row r="182" spans="1:1" x14ac:dyDescent="0.25">
      <c r="A182" s="7">
        <v>44763</v>
      </c>
    </row>
    <row r="183" spans="1:1" x14ac:dyDescent="0.25">
      <c r="A183" s="7">
        <v>44764</v>
      </c>
    </row>
    <row r="184" spans="1:1" x14ac:dyDescent="0.25">
      <c r="A184" s="7">
        <v>44765</v>
      </c>
    </row>
    <row r="185" spans="1:1" x14ac:dyDescent="0.25">
      <c r="A185" s="7">
        <v>44766</v>
      </c>
    </row>
    <row r="186" spans="1:1" x14ac:dyDescent="0.25">
      <c r="A186" s="7">
        <v>44767</v>
      </c>
    </row>
    <row r="187" spans="1:1" x14ac:dyDescent="0.25">
      <c r="A187" s="7">
        <v>44768</v>
      </c>
    </row>
    <row r="188" spans="1:1" x14ac:dyDescent="0.25">
      <c r="A188" s="7">
        <v>44769</v>
      </c>
    </row>
    <row r="189" spans="1:1" x14ac:dyDescent="0.25">
      <c r="A189" s="7">
        <v>44770</v>
      </c>
    </row>
    <row r="190" spans="1:1" x14ac:dyDescent="0.25">
      <c r="A190" s="7">
        <v>44771</v>
      </c>
    </row>
    <row r="191" spans="1:1" x14ac:dyDescent="0.25">
      <c r="A191" s="7">
        <v>44772</v>
      </c>
    </row>
    <row r="192" spans="1:1" x14ac:dyDescent="0.25">
      <c r="A192" s="7">
        <v>44773</v>
      </c>
    </row>
    <row r="194" s="8" customFormat="1" x14ac:dyDescent="0.25"/>
    <row r="195" s="8" customFormat="1" x14ac:dyDescent="0.25"/>
    <row r="196" s="8" customFormat="1" x14ac:dyDescent="0.25"/>
    <row r="197" s="8" customFormat="1" x14ac:dyDescent="0.25"/>
    <row r="198" s="8" customFormat="1" x14ac:dyDescent="0.25"/>
    <row r="199" s="8" customFormat="1" x14ac:dyDescent="0.25"/>
    <row r="200" s="8" customFormat="1" x14ac:dyDescent="0.25"/>
    <row r="201" s="8" customFormat="1" x14ac:dyDescent="0.25"/>
    <row r="202" s="8" customFormat="1" x14ac:dyDescent="0.25"/>
    <row r="203" s="8" customFormat="1" x14ac:dyDescent="0.25"/>
    <row r="204" s="8" customFormat="1" x14ac:dyDescent="0.25"/>
    <row r="205" s="8" customFormat="1" x14ac:dyDescent="0.25"/>
    <row r="206" s="8" customFormat="1" x14ac:dyDescent="0.25"/>
    <row r="207" s="8" customFormat="1" x14ac:dyDescent="0.25"/>
    <row r="208" s="8" customFormat="1" x14ac:dyDescent="0.25"/>
    <row r="209" s="8" customFormat="1" x14ac:dyDescent="0.25"/>
    <row r="210" s="8" customFormat="1" x14ac:dyDescent="0.25"/>
    <row r="211" s="8" customFormat="1" x14ac:dyDescent="0.25"/>
    <row r="212" s="8" customFormat="1" x14ac:dyDescent="0.25"/>
    <row r="213" s="8" customFormat="1" x14ac:dyDescent="0.25"/>
    <row r="214" s="8" customFormat="1" x14ac:dyDescent="0.25"/>
    <row r="215" s="8" customFormat="1" x14ac:dyDescent="0.25"/>
    <row r="216" s="8" customFormat="1" x14ac:dyDescent="0.25"/>
    <row r="217" s="8" customFormat="1" x14ac:dyDescent="0.25"/>
    <row r="218" s="8" customFormat="1" x14ac:dyDescent="0.25"/>
    <row r="219" s="8" customFormat="1" x14ac:dyDescent="0.25"/>
    <row r="220" s="8" customFormat="1" x14ac:dyDescent="0.25"/>
    <row r="221" s="8" customFormat="1" x14ac:dyDescent="0.25"/>
    <row r="222" s="8" customFormat="1" x14ac:dyDescent="0.25"/>
    <row r="223" s="8" customFormat="1" x14ac:dyDescent="0.25"/>
    <row r="224" s="8" customFormat="1" x14ac:dyDescent="0.25"/>
    <row r="225" s="8" customFormat="1" x14ac:dyDescent="0.25"/>
    <row r="226" s="8" customFormat="1" x14ac:dyDescent="0.25"/>
    <row r="227" s="8" customFormat="1" x14ac:dyDescent="0.25"/>
    <row r="228" s="8" customFormat="1" x14ac:dyDescent="0.25"/>
    <row r="229" s="8" customFormat="1" x14ac:dyDescent="0.25"/>
    <row r="230" s="8" customFormat="1" x14ac:dyDescent="0.25"/>
    <row r="231" s="8" customFormat="1" x14ac:dyDescent="0.25"/>
    <row r="232" s="8" customFormat="1" x14ac:dyDescent="0.25"/>
    <row r="233" s="8" customFormat="1" x14ac:dyDescent="0.25"/>
    <row r="234" s="8" customFormat="1" x14ac:dyDescent="0.25"/>
    <row r="235" s="8" customFormat="1" x14ac:dyDescent="0.25"/>
    <row r="236" s="8" customFormat="1" x14ac:dyDescent="0.25"/>
    <row r="237" s="8" customFormat="1" x14ac:dyDescent="0.25"/>
    <row r="238" s="8" customFormat="1" x14ac:dyDescent="0.25"/>
    <row r="239" s="8" customFormat="1" x14ac:dyDescent="0.25"/>
    <row r="240" s="8" customFormat="1" x14ac:dyDescent="0.25"/>
    <row r="241" s="8" customFormat="1" x14ac:dyDescent="0.25"/>
    <row r="242" s="8" customFormat="1" x14ac:dyDescent="0.25"/>
    <row r="243" s="8" customFormat="1" x14ac:dyDescent="0.25"/>
    <row r="244" s="8" customFormat="1" x14ac:dyDescent="0.25"/>
    <row r="245" s="8" customFormat="1" x14ac:dyDescent="0.25"/>
    <row r="246" s="8" customFormat="1" x14ac:dyDescent="0.25"/>
    <row r="247" s="8" customFormat="1" x14ac:dyDescent="0.25"/>
    <row r="248" s="8" customFormat="1" x14ac:dyDescent="0.25"/>
    <row r="249" s="8" customFormat="1" x14ac:dyDescent="0.25"/>
    <row r="250" s="8" customFormat="1" x14ac:dyDescent="0.25"/>
    <row r="251" s="8" customFormat="1" x14ac:dyDescent="0.25"/>
    <row r="252" s="8" customFormat="1" x14ac:dyDescent="0.25"/>
    <row r="253" s="8" customFormat="1" x14ac:dyDescent="0.25"/>
    <row r="254" s="8" customFormat="1" x14ac:dyDescent="0.25"/>
    <row r="255" s="8" customFormat="1" x14ac:dyDescent="0.25"/>
    <row r="256" s="8" customFormat="1" x14ac:dyDescent="0.25"/>
    <row r="257" s="8" customFormat="1" x14ac:dyDescent="0.25"/>
    <row r="258" s="8" customFormat="1" x14ac:dyDescent="0.25"/>
    <row r="259" s="8" customFormat="1" x14ac:dyDescent="0.25"/>
    <row r="260" s="8" customFormat="1" x14ac:dyDescent="0.25"/>
    <row r="261" s="8" customFormat="1" x14ac:dyDescent="0.25"/>
    <row r="262" s="8" customFormat="1" x14ac:dyDescent="0.25"/>
    <row r="263" s="8" customFormat="1" x14ac:dyDescent="0.25"/>
    <row r="264" s="8" customFormat="1" x14ac:dyDescent="0.25"/>
    <row r="265" s="8" customFormat="1" x14ac:dyDescent="0.25"/>
    <row r="266" s="8" customFormat="1" x14ac:dyDescent="0.25"/>
    <row r="267" s="8" customFormat="1" x14ac:dyDescent="0.25"/>
    <row r="268" s="8" customFormat="1" x14ac:dyDescent="0.25"/>
    <row r="269" s="8" customFormat="1" x14ac:dyDescent="0.25"/>
    <row r="270" s="8" customFormat="1" x14ac:dyDescent="0.25"/>
    <row r="271" s="8" customFormat="1" x14ac:dyDescent="0.25"/>
    <row r="272" s="8" customFormat="1" x14ac:dyDescent="0.25"/>
    <row r="273" s="8" customFormat="1" x14ac:dyDescent="0.25"/>
    <row r="274" s="8" customFormat="1" x14ac:dyDescent="0.25"/>
    <row r="275" s="8" customFormat="1" x14ac:dyDescent="0.25"/>
    <row r="276" s="8" customFormat="1" x14ac:dyDescent="0.25"/>
    <row r="277" s="8" customFormat="1" x14ac:dyDescent="0.25"/>
    <row r="278" s="8" customFormat="1" x14ac:dyDescent="0.25"/>
    <row r="279" s="8" customFormat="1" x14ac:dyDescent="0.25"/>
    <row r="280" s="8" customFormat="1" x14ac:dyDescent="0.25"/>
    <row r="281" s="8" customFormat="1" x14ac:dyDescent="0.25"/>
    <row r="282" s="8" customFormat="1" x14ac:dyDescent="0.25"/>
    <row r="283" s="8" customFormat="1" x14ac:dyDescent="0.25"/>
    <row r="284" s="8" customFormat="1" x14ac:dyDescent="0.25"/>
    <row r="285" s="8" customFormat="1" x14ac:dyDescent="0.25"/>
    <row r="286" s="8" customFormat="1" x14ac:dyDescent="0.25"/>
    <row r="287" s="8" customFormat="1" x14ac:dyDescent="0.25"/>
    <row r="288" s="8" customFormat="1" x14ac:dyDescent="0.25"/>
    <row r="289" s="8" customFormat="1" x14ac:dyDescent="0.25"/>
    <row r="290" s="8" customFormat="1" x14ac:dyDescent="0.25"/>
    <row r="291" s="8" customFormat="1" x14ac:dyDescent="0.25"/>
    <row r="292" s="8" customFormat="1" x14ac:dyDescent="0.25"/>
    <row r="293" s="8" customFormat="1" x14ac:dyDescent="0.25"/>
    <row r="294" s="8" customFormat="1" x14ac:dyDescent="0.25"/>
    <row r="295" s="8" customFormat="1" x14ac:dyDescent="0.25"/>
    <row r="296" s="8" customFormat="1" x14ac:dyDescent="0.25"/>
    <row r="297" s="8" customFormat="1" x14ac:dyDescent="0.25"/>
    <row r="298" s="8" customFormat="1" x14ac:dyDescent="0.25"/>
    <row r="299" s="8" customFormat="1" x14ac:dyDescent="0.25"/>
    <row r="300" s="8" customFormat="1" x14ac:dyDescent="0.25"/>
    <row r="301" s="8" customFormat="1" x14ac:dyDescent="0.25"/>
    <row r="302" s="8" customFormat="1" x14ac:dyDescent="0.25"/>
    <row r="303" s="8" customFormat="1" x14ac:dyDescent="0.25"/>
    <row r="304" s="8" customFormat="1" x14ac:dyDescent="0.25"/>
    <row r="305" s="8" customFormat="1" x14ac:dyDescent="0.25"/>
    <row r="306" s="8" customFormat="1" x14ac:dyDescent="0.25"/>
    <row r="307" s="8" customFormat="1" x14ac:dyDescent="0.25"/>
    <row r="308" s="8" customFormat="1" x14ac:dyDescent="0.25"/>
    <row r="309" s="8" customFormat="1" x14ac:dyDescent="0.25"/>
    <row r="310" s="8" customFormat="1" x14ac:dyDescent="0.25"/>
    <row r="311" s="8" customFormat="1" x14ac:dyDescent="0.25"/>
    <row r="312" s="8" customFormat="1" x14ac:dyDescent="0.25"/>
    <row r="313" s="8" customFormat="1" x14ac:dyDescent="0.25"/>
    <row r="314" s="8" customFormat="1" x14ac:dyDescent="0.25"/>
    <row r="315" s="8" customFormat="1" x14ac:dyDescent="0.25"/>
    <row r="316" s="8" customFormat="1" x14ac:dyDescent="0.25"/>
    <row r="317" s="8" customFormat="1" x14ac:dyDescent="0.25"/>
    <row r="318" s="8" customFormat="1" x14ac:dyDescent="0.25"/>
    <row r="319" s="8" customFormat="1" x14ac:dyDescent="0.25"/>
    <row r="320" s="8" customFormat="1" x14ac:dyDescent="0.25"/>
    <row r="321" s="8" customFormat="1" x14ac:dyDescent="0.25"/>
    <row r="322" s="8" customFormat="1" x14ac:dyDescent="0.25"/>
    <row r="323" s="8" customFormat="1" x14ac:dyDescent="0.25"/>
    <row r="324" s="8" customFormat="1" x14ac:dyDescent="0.25"/>
    <row r="325" s="8" customFormat="1" x14ac:dyDescent="0.25"/>
    <row r="326" s="8" customFormat="1" x14ac:dyDescent="0.25"/>
    <row r="327" s="8" customFormat="1" x14ac:dyDescent="0.25"/>
    <row r="328" s="8" customFormat="1" x14ac:dyDescent="0.25"/>
    <row r="329" s="8" customFormat="1" x14ac:dyDescent="0.25"/>
    <row r="330" s="8" customFormat="1" x14ac:dyDescent="0.25"/>
    <row r="331" s="8" customFormat="1" x14ac:dyDescent="0.25"/>
    <row r="332" s="8" customFormat="1" x14ac:dyDescent="0.25"/>
    <row r="333" s="8" customFormat="1" x14ac:dyDescent="0.25"/>
    <row r="334" s="8" customFormat="1" x14ac:dyDescent="0.25"/>
    <row r="335" s="8" customFormat="1" x14ac:dyDescent="0.25"/>
    <row r="336" s="8" customFormat="1" x14ac:dyDescent="0.25"/>
    <row r="337" s="8" customFormat="1" x14ac:dyDescent="0.25"/>
    <row r="338" s="8" customFormat="1" x14ac:dyDescent="0.25"/>
    <row r="339" s="8" customFormat="1" x14ac:dyDescent="0.25"/>
    <row r="340" s="8" customFormat="1" x14ac:dyDescent="0.25"/>
    <row r="341" s="8" customFormat="1" x14ac:dyDescent="0.25"/>
    <row r="342" s="8" customFormat="1" x14ac:dyDescent="0.25"/>
    <row r="343" s="8" customFormat="1" x14ac:dyDescent="0.25"/>
    <row r="344" s="8" customFormat="1" x14ac:dyDescent="0.25"/>
    <row r="345" s="8" customFormat="1" x14ac:dyDescent="0.25"/>
    <row r="346" s="8" customFormat="1" x14ac:dyDescent="0.25"/>
    <row r="347" s="8" customFormat="1" x14ac:dyDescent="0.25"/>
    <row r="348" s="8" customFormat="1" x14ac:dyDescent="0.25"/>
    <row r="349" s="8" customFormat="1" x14ac:dyDescent="0.25"/>
    <row r="350" s="8" customFormat="1" x14ac:dyDescent="0.25"/>
    <row r="351" s="8" customFormat="1" x14ac:dyDescent="0.25"/>
    <row r="352" s="8" customFormat="1" x14ac:dyDescent="0.25"/>
    <row r="353" s="8" customFormat="1" x14ac:dyDescent="0.25"/>
    <row r="354" s="8" customFormat="1" x14ac:dyDescent="0.25"/>
    <row r="355" s="8" customFormat="1" x14ac:dyDescent="0.25"/>
    <row r="356" s="8" customFormat="1" x14ac:dyDescent="0.25"/>
    <row r="357" s="8" customFormat="1" x14ac:dyDescent="0.25"/>
    <row r="358" s="8" customFormat="1" x14ac:dyDescent="0.25"/>
    <row r="359" s="8" customFormat="1" x14ac:dyDescent="0.25"/>
    <row r="360" s="8" customFormat="1" x14ac:dyDescent="0.25"/>
    <row r="361" s="8" customFormat="1" x14ac:dyDescent="0.25"/>
    <row r="362" s="8" customFormat="1" x14ac:dyDescent="0.25"/>
    <row r="363" s="8" customFormat="1" x14ac:dyDescent="0.25"/>
    <row r="364" s="8" customFormat="1" x14ac:dyDescent="0.25"/>
    <row r="365" s="8" customFormat="1" x14ac:dyDescent="0.25"/>
    <row r="366" s="8" customFormat="1" x14ac:dyDescent="0.25"/>
    <row r="367" s="8" customFormat="1" x14ac:dyDescent="0.25"/>
    <row r="368" s="8" customFormat="1" x14ac:dyDescent="0.25"/>
    <row r="369" s="8" customFormat="1" x14ac:dyDescent="0.25"/>
    <row r="370" s="8" customFormat="1" x14ac:dyDescent="0.25"/>
    <row r="371" s="8" customFormat="1" x14ac:dyDescent="0.25"/>
    <row r="372" s="8" customFormat="1" x14ac:dyDescent="0.25"/>
    <row r="373" s="8" customFormat="1" x14ac:dyDescent="0.25"/>
    <row r="374" s="8" customFormat="1" x14ac:dyDescent="0.25"/>
    <row r="375" s="8" customFormat="1" x14ac:dyDescent="0.25"/>
    <row r="376" s="8" customFormat="1" x14ac:dyDescent="0.25"/>
    <row r="377" s="8" customFormat="1" x14ac:dyDescent="0.25"/>
    <row r="378" s="8" customFormat="1" x14ac:dyDescent="0.25"/>
    <row r="379" s="8" customFormat="1" x14ac:dyDescent="0.25"/>
    <row r="380" s="8" customFormat="1" x14ac:dyDescent="0.25"/>
    <row r="381" s="8" customFormat="1" x14ac:dyDescent="0.25"/>
    <row r="382" s="8" customFormat="1" x14ac:dyDescent="0.25"/>
    <row r="383" s="8" customFormat="1" x14ac:dyDescent="0.25"/>
    <row r="384" s="8" customFormat="1" x14ac:dyDescent="0.25"/>
    <row r="385" s="8" customFormat="1" x14ac:dyDescent="0.25"/>
    <row r="386" s="8" customFormat="1" x14ac:dyDescent="0.25"/>
    <row r="387" s="8" customFormat="1" x14ac:dyDescent="0.25"/>
    <row r="388" s="8" customFormat="1" x14ac:dyDescent="0.25"/>
    <row r="389" s="8" customFormat="1" x14ac:dyDescent="0.25"/>
    <row r="390" s="8" customFormat="1" x14ac:dyDescent="0.25"/>
    <row r="391" s="8" customFormat="1" x14ac:dyDescent="0.25"/>
    <row r="392" s="8" customFormat="1" x14ac:dyDescent="0.25"/>
    <row r="393" s="8" customFormat="1" x14ac:dyDescent="0.25"/>
    <row r="394" s="8" customFormat="1" x14ac:dyDescent="0.25"/>
    <row r="395" s="8" customFormat="1" x14ac:dyDescent="0.25"/>
    <row r="396" s="8" customFormat="1" x14ac:dyDescent="0.25"/>
    <row r="397" s="8" customFormat="1" x14ac:dyDescent="0.25"/>
    <row r="398" s="8" customFormat="1" x14ac:dyDescent="0.25"/>
    <row r="399" s="8" customFormat="1" x14ac:dyDescent="0.25"/>
    <row r="400" s="8" customFormat="1" x14ac:dyDescent="0.25"/>
    <row r="401" s="8" customFormat="1" x14ac:dyDescent="0.25"/>
    <row r="402" s="8" customFormat="1" x14ac:dyDescent="0.25"/>
    <row r="403" s="8" customFormat="1" x14ac:dyDescent="0.25"/>
    <row r="404" s="8" customFormat="1" x14ac:dyDescent="0.25"/>
    <row r="405" s="8" customFormat="1" x14ac:dyDescent="0.25"/>
    <row r="406" s="8" customFormat="1" x14ac:dyDescent="0.25"/>
    <row r="407" s="8" customFormat="1" x14ac:dyDescent="0.25"/>
    <row r="408" s="8" customFormat="1" x14ac:dyDescent="0.25"/>
    <row r="409" s="8" customFormat="1" x14ac:dyDescent="0.25"/>
    <row r="410" s="8" customFormat="1" x14ac:dyDescent="0.25"/>
    <row r="411" s="8" customFormat="1" x14ac:dyDescent="0.25"/>
    <row r="412" s="8" customFormat="1" x14ac:dyDescent="0.25"/>
    <row r="413" s="8" customFormat="1" x14ac:dyDescent="0.25"/>
    <row r="414" s="8" customFormat="1" x14ac:dyDescent="0.25"/>
    <row r="415" s="8" customFormat="1" x14ac:dyDescent="0.25"/>
    <row r="416" s="8" customFormat="1" x14ac:dyDescent="0.25"/>
    <row r="417" s="8" customFormat="1" x14ac:dyDescent="0.25"/>
    <row r="418" s="8" customFormat="1" x14ac:dyDescent="0.25"/>
    <row r="419" s="8" customFormat="1" x14ac:dyDescent="0.25"/>
    <row r="420" s="8" customFormat="1" x14ac:dyDescent="0.25"/>
    <row r="421" s="8" customFormat="1" x14ac:dyDescent="0.25"/>
    <row r="422" s="8" customFormat="1" x14ac:dyDescent="0.25"/>
    <row r="423" s="8" customFormat="1" x14ac:dyDescent="0.25"/>
    <row r="424" s="8" customFormat="1" x14ac:dyDescent="0.25"/>
    <row r="425" s="8" customFormat="1" x14ac:dyDescent="0.25"/>
    <row r="426" s="8" customFormat="1" x14ac:dyDescent="0.25"/>
    <row r="427" s="8" customFormat="1" x14ac:dyDescent="0.25"/>
    <row r="428" s="8" customFormat="1" x14ac:dyDescent="0.25"/>
    <row r="429" s="8" customFormat="1" x14ac:dyDescent="0.25"/>
    <row r="430" s="8" customFormat="1" x14ac:dyDescent="0.25"/>
    <row r="431" s="8" customFormat="1" x14ac:dyDescent="0.25"/>
    <row r="432" s="8" customFormat="1" x14ac:dyDescent="0.25"/>
    <row r="433" s="8" customFormat="1" x14ac:dyDescent="0.25"/>
    <row r="434" s="8" customFormat="1" x14ac:dyDescent="0.25"/>
    <row r="435" s="8" customFormat="1" x14ac:dyDescent="0.25"/>
    <row r="436" s="8" customFormat="1" x14ac:dyDescent="0.25"/>
    <row r="437" s="8" customFormat="1" x14ac:dyDescent="0.25"/>
    <row r="438" s="8" customFormat="1" x14ac:dyDescent="0.25"/>
    <row r="439" s="8" customFormat="1" x14ac:dyDescent="0.25"/>
    <row r="440" s="8" customFormat="1" x14ac:dyDescent="0.25"/>
    <row r="441" s="8" customFormat="1" x14ac:dyDescent="0.25"/>
    <row r="442" s="8" customFormat="1" x14ac:dyDescent="0.25"/>
    <row r="443" s="8" customFormat="1" x14ac:dyDescent="0.25"/>
    <row r="444" s="8" customFormat="1" x14ac:dyDescent="0.25"/>
    <row r="445" s="8" customFormat="1" x14ac:dyDescent="0.25"/>
    <row r="446" s="8" customFormat="1" x14ac:dyDescent="0.25"/>
    <row r="447" s="8" customFormat="1" x14ac:dyDescent="0.25"/>
    <row r="448" s="8" customFormat="1" x14ac:dyDescent="0.25"/>
    <row r="449" s="8" customFormat="1" x14ac:dyDescent="0.25"/>
    <row r="450" s="8" customFormat="1" x14ac:dyDescent="0.25"/>
    <row r="451" s="8" customFormat="1" x14ac:dyDescent="0.25"/>
    <row r="452" s="8" customFormat="1" x14ac:dyDescent="0.25"/>
    <row r="453" s="8" customFormat="1" x14ac:dyDescent="0.25"/>
    <row r="454" s="8" customFormat="1" x14ac:dyDescent="0.25"/>
    <row r="455" s="8" customFormat="1" x14ac:dyDescent="0.25"/>
    <row r="456" s="8" customFormat="1" x14ac:dyDescent="0.25"/>
    <row r="457" s="8" customFormat="1" x14ac:dyDescent="0.25"/>
    <row r="458" s="8" customFormat="1" x14ac:dyDescent="0.25"/>
    <row r="459" s="8" customFormat="1" x14ac:dyDescent="0.25"/>
    <row r="460" s="8" customFormat="1" x14ac:dyDescent="0.25"/>
    <row r="461" s="8" customFormat="1" x14ac:dyDescent="0.25"/>
    <row r="462" s="8" customFormat="1" x14ac:dyDescent="0.25"/>
    <row r="463" s="8" customFormat="1" x14ac:dyDescent="0.25"/>
    <row r="464" s="8" customFormat="1" x14ac:dyDescent="0.25"/>
    <row r="465" s="8" customFormat="1" x14ac:dyDescent="0.25"/>
    <row r="466" s="8" customFormat="1" x14ac:dyDescent="0.25"/>
    <row r="467" s="8" customFormat="1" x14ac:dyDescent="0.25"/>
    <row r="468" s="8" customFormat="1" x14ac:dyDescent="0.25"/>
    <row r="469" s="8" customFormat="1" x14ac:dyDescent="0.25"/>
    <row r="470" s="8" customFormat="1" x14ac:dyDescent="0.25"/>
    <row r="471" s="8" customFormat="1" x14ac:dyDescent="0.25"/>
    <row r="472" s="8" customFormat="1" x14ac:dyDescent="0.25"/>
    <row r="473" s="8" customFormat="1" x14ac:dyDescent="0.25"/>
    <row r="474" s="8" customFormat="1" x14ac:dyDescent="0.25"/>
    <row r="475" s="8" customFormat="1" x14ac:dyDescent="0.25"/>
    <row r="476" s="8" customFormat="1" x14ac:dyDescent="0.25"/>
    <row r="477" s="8" customFormat="1" x14ac:dyDescent="0.25"/>
    <row r="478" s="8" customFormat="1" x14ac:dyDescent="0.25"/>
    <row r="479" s="8" customFormat="1" x14ac:dyDescent="0.25"/>
    <row r="480" s="8" customFormat="1" x14ac:dyDescent="0.25"/>
    <row r="481" s="8" customFormat="1" x14ac:dyDescent="0.25"/>
    <row r="482" s="8" customFormat="1" x14ac:dyDescent="0.25"/>
    <row r="483" s="8" customFormat="1" x14ac:dyDescent="0.25"/>
    <row r="484" s="8" customFormat="1" x14ac:dyDescent="0.25"/>
    <row r="485" s="8" customFormat="1" x14ac:dyDescent="0.25"/>
    <row r="486" s="8" customFormat="1" x14ac:dyDescent="0.25"/>
  </sheetData>
  <phoneticPr fontId="2" type="noConversion"/>
  <pageMargins left="0.7" right="0.7" top="0.75" bottom="0.75" header="0.3" footer="0.3"/>
  <pageSetup orientation="portrait" r:id="rId1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D9C2-E49A-4101-A1AC-87A27F72D156}">
  <sheetPr codeName="Sheet2"/>
  <dimension ref="C3:X37"/>
  <sheetViews>
    <sheetView showGridLines="0" showRowColHeaders="0" tabSelected="1" zoomScale="69" zoomScaleNormal="55" workbookViewId="0">
      <selection activeCell="AA14" sqref="AA14"/>
    </sheetView>
  </sheetViews>
  <sheetFormatPr defaultColWidth="9.109375" defaultRowHeight="14.4" x14ac:dyDescent="0.3"/>
  <cols>
    <col min="1" max="1" width="2.6640625" style="3" customWidth="1"/>
    <col min="2" max="2" width="6.21875" style="3" customWidth="1"/>
    <col min="3" max="14" width="9.109375" style="3"/>
    <col min="15" max="15" width="5.21875" style="3" customWidth="1"/>
    <col min="16" max="21" width="9.109375" style="3"/>
    <col min="22" max="22" width="8" style="3" customWidth="1"/>
    <col min="23" max="16384" width="9.109375" style="3"/>
  </cols>
  <sheetData>
    <row r="3" spans="3:22" x14ac:dyDescent="0.3">
      <c r="O3" s="4"/>
      <c r="P3" s="4"/>
      <c r="Q3" s="4"/>
      <c r="R3" s="4"/>
      <c r="S3" s="4"/>
      <c r="T3" s="4"/>
      <c r="U3" s="4"/>
      <c r="V3" s="4"/>
    </row>
    <row r="4" spans="3:22" ht="5.25" customHeight="1" x14ac:dyDescent="0.3">
      <c r="O4" s="4"/>
      <c r="P4" s="4"/>
      <c r="Q4" s="4"/>
      <c r="R4" s="4"/>
      <c r="S4" s="4"/>
      <c r="T4" s="4"/>
      <c r="U4" s="4"/>
      <c r="V4" s="4"/>
    </row>
    <row r="5" spans="3:22" x14ac:dyDescent="0.3">
      <c r="C5" s="4"/>
      <c r="D5" s="4"/>
      <c r="E5" s="4"/>
      <c r="F5" s="4"/>
      <c r="G5" s="4"/>
      <c r="H5" s="4"/>
      <c r="I5" s="4"/>
      <c r="J5" s="4"/>
      <c r="K5" s="4"/>
      <c r="L5" s="4"/>
      <c r="M5" s="4"/>
      <c r="N5" s="4"/>
      <c r="O5" s="4"/>
      <c r="P5" s="4"/>
      <c r="Q5" s="4"/>
      <c r="R5" s="4"/>
      <c r="S5" s="4"/>
      <c r="T5" s="4"/>
      <c r="U5" s="4"/>
      <c r="V5" s="4"/>
    </row>
    <row r="6" spans="3:22" x14ac:dyDescent="0.3">
      <c r="C6" s="5"/>
      <c r="D6" s="5"/>
      <c r="E6" s="5"/>
      <c r="F6" s="5"/>
      <c r="G6" s="5"/>
      <c r="H6" s="5"/>
      <c r="I6" s="5"/>
      <c r="J6" s="5"/>
      <c r="K6" s="5"/>
      <c r="L6" s="5"/>
      <c r="M6" s="5"/>
      <c r="N6" s="5"/>
      <c r="O6" s="5"/>
      <c r="P6" s="5"/>
      <c r="Q6" s="5"/>
      <c r="R6" s="5"/>
      <c r="S6" s="5"/>
      <c r="T6" s="5"/>
      <c r="U6" s="5"/>
      <c r="V6" s="5"/>
    </row>
    <row r="7" spans="3:22" x14ac:dyDescent="0.3">
      <c r="C7" s="5"/>
      <c r="D7" s="5"/>
      <c r="E7" s="5"/>
      <c r="F7" s="5"/>
      <c r="G7" s="5"/>
      <c r="H7" s="5"/>
      <c r="I7" s="5"/>
      <c r="J7" s="5"/>
      <c r="K7" s="5"/>
      <c r="L7" s="5"/>
      <c r="M7" s="5"/>
      <c r="N7" s="5"/>
      <c r="O7" s="5"/>
      <c r="P7" s="5"/>
      <c r="Q7" s="5"/>
      <c r="R7" s="5"/>
      <c r="S7" s="5"/>
      <c r="T7" s="5"/>
      <c r="U7" s="5"/>
      <c r="V7" s="5"/>
    </row>
    <row r="8" spans="3:22" x14ac:dyDescent="0.3">
      <c r="C8" s="5"/>
      <c r="D8" s="5"/>
      <c r="E8" s="5"/>
      <c r="F8" s="5"/>
      <c r="G8" s="5"/>
      <c r="H8" s="5"/>
      <c r="I8" s="5"/>
      <c r="J8" s="5"/>
      <c r="K8" s="5"/>
      <c r="L8" s="5"/>
      <c r="M8" s="5"/>
      <c r="N8" s="5"/>
      <c r="O8" s="5"/>
      <c r="P8" s="5"/>
      <c r="Q8" s="5"/>
      <c r="R8" s="5"/>
      <c r="S8" s="5"/>
      <c r="T8" s="5"/>
      <c r="U8" s="5"/>
      <c r="V8" s="5"/>
    </row>
    <row r="9" spans="3:22" x14ac:dyDescent="0.3">
      <c r="C9" s="5"/>
      <c r="D9" s="5"/>
      <c r="E9" s="5"/>
      <c r="F9" s="5"/>
      <c r="G9" s="5"/>
      <c r="H9" s="5"/>
      <c r="I9" s="5"/>
      <c r="J9" s="5"/>
      <c r="K9" s="5"/>
      <c r="L9" s="5"/>
      <c r="M9" s="5"/>
      <c r="N9" s="5"/>
      <c r="O9" s="5"/>
      <c r="P9" s="5"/>
      <c r="Q9" s="5"/>
      <c r="R9" s="5"/>
      <c r="S9" s="5"/>
      <c r="T9" s="5"/>
      <c r="U9" s="5"/>
      <c r="V9" s="5"/>
    </row>
    <row r="10" spans="3:22" x14ac:dyDescent="0.3">
      <c r="C10" s="5"/>
      <c r="D10" s="5"/>
      <c r="E10" s="5"/>
      <c r="F10" s="5"/>
      <c r="G10" s="5"/>
      <c r="H10" s="5"/>
      <c r="I10" s="5"/>
      <c r="J10" s="5"/>
      <c r="K10" s="5"/>
      <c r="L10" s="5"/>
      <c r="M10" s="5"/>
      <c r="N10" s="5"/>
      <c r="O10" s="5"/>
      <c r="P10" s="5"/>
      <c r="Q10" s="5"/>
      <c r="R10" s="5"/>
      <c r="S10" s="5"/>
      <c r="T10" s="5"/>
      <c r="U10" s="5"/>
      <c r="V10" s="5"/>
    </row>
    <row r="11" spans="3:22" x14ac:dyDescent="0.3">
      <c r="C11" s="5"/>
      <c r="D11" s="5"/>
      <c r="E11" s="5"/>
      <c r="F11" s="5"/>
      <c r="G11" s="5"/>
      <c r="H11" s="5"/>
      <c r="I11" s="5"/>
      <c r="J11" s="5"/>
      <c r="K11" s="5"/>
      <c r="L11" s="5"/>
      <c r="M11" s="5"/>
      <c r="N11" s="5"/>
      <c r="O11" s="5"/>
      <c r="P11" s="5"/>
      <c r="Q11" s="5"/>
      <c r="R11" s="5"/>
      <c r="S11" s="5"/>
      <c r="T11" s="5"/>
      <c r="U11" s="5"/>
      <c r="V11" s="5"/>
    </row>
    <row r="12" spans="3:22" x14ac:dyDescent="0.3">
      <c r="C12" s="5"/>
      <c r="D12" s="5"/>
      <c r="E12" s="5"/>
      <c r="F12" s="5"/>
      <c r="G12" s="5"/>
      <c r="H12" s="5"/>
      <c r="I12" s="5"/>
      <c r="J12" s="5"/>
      <c r="K12" s="5"/>
      <c r="L12" s="5"/>
      <c r="M12" s="5"/>
      <c r="N12" s="5"/>
      <c r="O12" s="5"/>
      <c r="P12" s="5"/>
      <c r="Q12" s="5"/>
      <c r="R12" s="5"/>
      <c r="S12" s="5"/>
      <c r="T12" s="5"/>
      <c r="U12" s="5"/>
      <c r="V12" s="5"/>
    </row>
    <row r="13" spans="3:22" x14ac:dyDescent="0.3">
      <c r="C13" s="5"/>
      <c r="D13" s="5"/>
      <c r="E13" s="5"/>
      <c r="F13" s="5"/>
      <c r="G13" s="5"/>
      <c r="H13" s="5"/>
      <c r="I13" s="5"/>
      <c r="J13" s="5"/>
      <c r="K13" s="5"/>
      <c r="L13" s="5"/>
      <c r="M13" s="5"/>
      <c r="N13" s="5"/>
      <c r="O13" s="5"/>
      <c r="P13" s="5"/>
      <c r="Q13" s="5"/>
      <c r="R13" s="5"/>
      <c r="S13" s="5"/>
      <c r="T13" s="5"/>
      <c r="U13" s="5"/>
      <c r="V13" s="5"/>
    </row>
    <row r="14" spans="3:22" x14ac:dyDescent="0.3">
      <c r="C14" s="5"/>
      <c r="D14" s="5"/>
      <c r="E14" s="5"/>
      <c r="F14" s="5"/>
      <c r="G14" s="5"/>
      <c r="H14" s="5"/>
      <c r="I14" s="5"/>
      <c r="J14" s="5"/>
      <c r="K14" s="5"/>
      <c r="L14" s="5"/>
      <c r="M14" s="5"/>
      <c r="N14" s="5"/>
      <c r="O14" s="5"/>
      <c r="P14" s="5"/>
      <c r="Q14" s="5"/>
      <c r="R14" s="5"/>
      <c r="S14" s="5"/>
      <c r="T14" s="5"/>
      <c r="U14" s="5"/>
      <c r="V14" s="5"/>
    </row>
    <row r="15" spans="3:22" x14ac:dyDescent="0.3">
      <c r="C15" s="5"/>
      <c r="D15" s="5"/>
      <c r="E15" s="5"/>
      <c r="F15" s="5"/>
      <c r="G15" s="5"/>
      <c r="H15" s="5"/>
      <c r="I15" s="5"/>
      <c r="J15" s="5"/>
      <c r="K15" s="5"/>
      <c r="L15" s="5"/>
      <c r="M15" s="5"/>
      <c r="N15" s="5"/>
      <c r="O15" s="5"/>
      <c r="P15" s="5"/>
      <c r="Q15" s="5"/>
      <c r="R15" s="5"/>
      <c r="S15" s="5"/>
      <c r="T15" s="5"/>
      <c r="U15" s="5"/>
      <c r="V15" s="5"/>
    </row>
    <row r="16" spans="3:22" x14ac:dyDescent="0.3">
      <c r="C16" s="5"/>
      <c r="D16" s="5"/>
      <c r="E16" s="5"/>
      <c r="F16" s="5"/>
      <c r="G16" s="5"/>
      <c r="H16" s="5"/>
      <c r="I16" s="5"/>
      <c r="J16" s="5"/>
      <c r="K16" s="5"/>
      <c r="L16" s="5"/>
      <c r="M16" s="5"/>
      <c r="N16" s="5"/>
      <c r="O16" s="5"/>
      <c r="P16" s="5"/>
      <c r="Q16" s="5"/>
      <c r="R16" s="5"/>
      <c r="S16" s="5"/>
      <c r="T16" s="5"/>
      <c r="U16" s="5"/>
      <c r="V16" s="5"/>
    </row>
    <row r="17" spans="3:24" x14ac:dyDescent="0.3">
      <c r="C17" s="5"/>
      <c r="D17" s="5"/>
      <c r="E17" s="5"/>
      <c r="F17" s="5"/>
      <c r="G17" s="5"/>
      <c r="H17" s="5"/>
      <c r="I17" s="5"/>
      <c r="J17" s="5"/>
      <c r="K17" s="5"/>
      <c r="L17" s="5"/>
      <c r="M17" s="5"/>
      <c r="N17" s="5"/>
      <c r="O17" s="5"/>
      <c r="P17" s="5"/>
      <c r="Q17" s="5"/>
      <c r="R17" s="5"/>
      <c r="S17" s="5"/>
      <c r="T17" s="5"/>
      <c r="U17" s="5"/>
      <c r="V17" s="5"/>
    </row>
    <row r="18" spans="3:24" x14ac:dyDescent="0.3">
      <c r="C18" s="5"/>
      <c r="D18" s="5"/>
      <c r="E18" s="5"/>
      <c r="F18" s="5"/>
      <c r="G18" s="5"/>
      <c r="H18" s="5"/>
      <c r="I18" s="5"/>
      <c r="J18" s="5"/>
      <c r="K18" s="5"/>
      <c r="L18" s="5"/>
      <c r="M18" s="5"/>
      <c r="N18" s="5"/>
      <c r="O18" s="5"/>
      <c r="P18" s="5"/>
      <c r="Q18" s="5"/>
      <c r="R18" s="5"/>
      <c r="S18" s="5"/>
      <c r="T18" s="5"/>
      <c r="U18" s="5"/>
      <c r="V18" s="5"/>
      <c r="X18" s="6"/>
    </row>
    <row r="19" spans="3:24" x14ac:dyDescent="0.3">
      <c r="C19" s="5"/>
      <c r="D19" s="5"/>
      <c r="E19" s="5"/>
      <c r="F19" s="5"/>
      <c r="G19" s="5"/>
      <c r="H19" s="5"/>
      <c r="I19" s="5"/>
      <c r="J19" s="5"/>
      <c r="K19" s="5"/>
      <c r="L19" s="5"/>
      <c r="M19" s="5"/>
      <c r="N19" s="5"/>
      <c r="O19" s="5"/>
      <c r="P19" s="5"/>
      <c r="Q19" s="5"/>
      <c r="R19" s="5"/>
      <c r="S19" s="5"/>
      <c r="T19" s="5"/>
      <c r="U19" s="5"/>
      <c r="V19" s="5"/>
    </row>
    <row r="20" spans="3:24" x14ac:dyDescent="0.3">
      <c r="C20" s="5"/>
      <c r="D20" s="5"/>
      <c r="E20" s="5"/>
      <c r="F20" s="5"/>
      <c r="G20" s="5"/>
      <c r="H20" s="5"/>
      <c r="I20" s="5"/>
      <c r="J20" s="5"/>
      <c r="K20" s="5"/>
      <c r="L20" s="5"/>
      <c r="M20" s="5"/>
      <c r="N20" s="5"/>
      <c r="O20" s="5"/>
      <c r="P20" s="5"/>
      <c r="Q20" s="5"/>
      <c r="R20" s="5"/>
      <c r="S20" s="5"/>
      <c r="T20" s="5"/>
      <c r="U20" s="5"/>
      <c r="V20" s="5"/>
    </row>
    <row r="21" spans="3:24" x14ac:dyDescent="0.3">
      <c r="C21" s="5"/>
      <c r="D21" s="5"/>
      <c r="E21" s="5"/>
      <c r="F21" s="5"/>
      <c r="G21" s="5"/>
      <c r="H21" s="5"/>
      <c r="I21" s="5"/>
      <c r="J21" s="5"/>
      <c r="K21" s="5"/>
      <c r="L21" s="5"/>
      <c r="M21" s="5"/>
      <c r="N21" s="5"/>
      <c r="O21" s="5"/>
      <c r="P21" s="5"/>
      <c r="Q21" s="5"/>
      <c r="R21" s="5"/>
      <c r="S21" s="5"/>
      <c r="T21" s="5"/>
      <c r="U21" s="5"/>
      <c r="V21" s="5"/>
    </row>
    <row r="22" spans="3:24" x14ac:dyDescent="0.3">
      <c r="C22" s="5"/>
      <c r="D22" s="5"/>
      <c r="E22" s="5"/>
      <c r="F22" s="5"/>
      <c r="G22" s="5"/>
      <c r="H22" s="5"/>
      <c r="I22" s="5"/>
      <c r="J22" s="5"/>
      <c r="K22" s="5"/>
      <c r="L22" s="5"/>
      <c r="M22" s="5"/>
      <c r="N22" s="5"/>
      <c r="O22" s="5"/>
      <c r="P22" s="5"/>
      <c r="Q22" s="5"/>
      <c r="R22" s="5"/>
      <c r="S22" s="5"/>
      <c r="T22" s="5"/>
      <c r="U22" s="5"/>
      <c r="V22" s="5"/>
    </row>
    <row r="23" spans="3:24" x14ac:dyDescent="0.3">
      <c r="C23" s="5"/>
      <c r="D23" s="5"/>
      <c r="E23" s="5"/>
      <c r="F23" s="5"/>
      <c r="G23" s="5"/>
      <c r="H23" s="5"/>
      <c r="I23" s="5"/>
      <c r="J23" s="5"/>
      <c r="K23" s="5"/>
      <c r="L23" s="5"/>
      <c r="M23" s="5"/>
      <c r="N23" s="5"/>
      <c r="O23" s="5"/>
      <c r="P23" s="5"/>
      <c r="Q23" s="5"/>
      <c r="R23" s="5"/>
      <c r="S23" s="5"/>
      <c r="T23" s="5"/>
      <c r="U23" s="5"/>
      <c r="V23" s="5"/>
    </row>
    <row r="24" spans="3:24" x14ac:dyDescent="0.3">
      <c r="C24" s="5"/>
      <c r="D24" s="5"/>
      <c r="E24" s="5"/>
      <c r="F24" s="5"/>
      <c r="G24" s="5"/>
      <c r="H24" s="5"/>
      <c r="I24" s="5"/>
      <c r="J24" s="5"/>
      <c r="K24" s="5"/>
      <c r="L24" s="5"/>
      <c r="M24" s="5"/>
      <c r="N24" s="5"/>
      <c r="O24" s="5"/>
      <c r="P24" s="5"/>
      <c r="Q24" s="5"/>
      <c r="R24" s="5"/>
      <c r="S24" s="5"/>
      <c r="T24" s="5"/>
      <c r="U24" s="5"/>
      <c r="V24" s="5"/>
    </row>
    <row r="25" spans="3:24" x14ac:dyDescent="0.3">
      <c r="C25" s="5"/>
      <c r="D25" s="5"/>
      <c r="E25" s="5"/>
      <c r="F25" s="5"/>
      <c r="G25" s="5"/>
      <c r="H25" s="5"/>
      <c r="I25" s="5"/>
      <c r="J25" s="5"/>
      <c r="K25" s="5"/>
      <c r="L25" s="5"/>
      <c r="M25" s="5"/>
      <c r="N25" s="5"/>
      <c r="O25" s="5"/>
      <c r="P25" s="5"/>
      <c r="Q25" s="5"/>
      <c r="R25" s="5"/>
      <c r="S25" s="5"/>
      <c r="T25" s="5"/>
      <c r="U25" s="5"/>
      <c r="V25" s="5"/>
    </row>
    <row r="26" spans="3:24" x14ac:dyDescent="0.3">
      <c r="C26" s="5"/>
      <c r="D26" s="5"/>
      <c r="E26" s="5"/>
      <c r="F26" s="5"/>
      <c r="G26" s="5"/>
      <c r="H26" s="5"/>
      <c r="I26" s="5"/>
      <c r="J26" s="5"/>
      <c r="K26" s="5"/>
      <c r="L26" s="5"/>
      <c r="M26" s="5"/>
      <c r="N26" s="5"/>
      <c r="O26" s="5"/>
      <c r="P26" s="5"/>
      <c r="Q26" s="5"/>
      <c r="R26" s="5"/>
      <c r="S26" s="5"/>
      <c r="T26" s="5"/>
      <c r="U26" s="5"/>
      <c r="V26" s="5"/>
    </row>
    <row r="27" spans="3:24" x14ac:dyDescent="0.3">
      <c r="C27" s="5"/>
      <c r="D27" s="5"/>
      <c r="E27" s="5"/>
      <c r="F27" s="5"/>
      <c r="G27" s="5"/>
      <c r="H27" s="5"/>
      <c r="I27" s="5"/>
      <c r="J27" s="5"/>
      <c r="K27" s="5"/>
      <c r="L27" s="5"/>
      <c r="M27" s="5"/>
      <c r="N27" s="5"/>
      <c r="O27" s="5"/>
      <c r="P27" s="5"/>
      <c r="Q27" s="5"/>
      <c r="R27" s="5"/>
      <c r="S27" s="5"/>
      <c r="T27" s="5"/>
      <c r="U27" s="5"/>
      <c r="V27" s="5"/>
    </row>
    <row r="28" spans="3:24" ht="12" customHeight="1" x14ac:dyDescent="0.3">
      <c r="C28" s="5"/>
      <c r="D28" s="5"/>
      <c r="E28" s="5"/>
      <c r="F28" s="5"/>
      <c r="G28" s="5"/>
      <c r="H28" s="5"/>
      <c r="I28" s="5"/>
      <c r="J28" s="5"/>
      <c r="K28" s="5"/>
      <c r="L28" s="5"/>
      <c r="M28" s="5"/>
      <c r="N28" s="5"/>
      <c r="O28" s="5"/>
      <c r="P28" s="5"/>
      <c r="Q28" s="5"/>
      <c r="R28" s="5"/>
      <c r="S28" s="5"/>
      <c r="T28" s="5"/>
      <c r="U28" s="5"/>
      <c r="V28" s="5"/>
    </row>
    <row r="29" spans="3:24" ht="10.5" customHeight="1" x14ac:dyDescent="0.3">
      <c r="C29" s="5"/>
      <c r="D29" s="5"/>
      <c r="E29" s="5"/>
      <c r="F29" s="5"/>
      <c r="G29" s="5"/>
      <c r="H29" s="5"/>
      <c r="I29" s="5"/>
      <c r="J29" s="5"/>
      <c r="K29" s="5"/>
      <c r="L29" s="5"/>
      <c r="M29" s="5"/>
      <c r="N29" s="5"/>
      <c r="O29" s="5"/>
      <c r="P29" s="5"/>
      <c r="Q29" s="5"/>
      <c r="R29" s="5"/>
      <c r="S29" s="5"/>
      <c r="T29" s="5"/>
      <c r="U29" s="5"/>
      <c r="V29" s="5"/>
    </row>
    <row r="30" spans="3:24" x14ac:dyDescent="0.3">
      <c r="C30" s="5"/>
      <c r="D30" s="5"/>
      <c r="E30" s="5"/>
      <c r="F30" s="5"/>
      <c r="G30" s="5"/>
      <c r="H30" s="5"/>
      <c r="I30" s="5"/>
      <c r="J30" s="5"/>
      <c r="K30" s="5"/>
      <c r="L30" s="5"/>
      <c r="M30" s="5"/>
      <c r="N30" s="5"/>
      <c r="O30" s="5"/>
      <c r="P30" s="5"/>
      <c r="Q30" s="5"/>
      <c r="R30" s="5"/>
      <c r="S30" s="5"/>
      <c r="T30" s="5"/>
      <c r="U30" s="5"/>
      <c r="V30" s="5"/>
    </row>
    <row r="31" spans="3:24" x14ac:dyDescent="0.3">
      <c r="C31" s="5"/>
      <c r="D31" s="5"/>
      <c r="E31" s="5"/>
      <c r="F31" s="5"/>
      <c r="G31" s="5"/>
      <c r="H31" s="5"/>
      <c r="I31" s="5"/>
      <c r="J31" s="5"/>
      <c r="K31" s="5"/>
      <c r="L31" s="5"/>
      <c r="M31" s="5"/>
      <c r="N31" s="5"/>
      <c r="O31" s="5"/>
      <c r="P31" s="5"/>
      <c r="Q31" s="5"/>
      <c r="R31" s="5"/>
      <c r="S31" s="5"/>
      <c r="T31" s="5"/>
      <c r="U31" s="5"/>
      <c r="V31" s="5"/>
    </row>
    <row r="32" spans="3:24" x14ac:dyDescent="0.3">
      <c r="C32" s="5"/>
      <c r="D32" s="5"/>
      <c r="E32" s="5"/>
      <c r="F32" s="5"/>
      <c r="G32" s="5"/>
      <c r="H32" s="5"/>
      <c r="I32" s="5"/>
      <c r="J32" s="5"/>
      <c r="K32" s="5"/>
      <c r="L32" s="5"/>
      <c r="M32" s="5"/>
      <c r="N32" s="5"/>
      <c r="O32" s="5"/>
      <c r="P32" s="5"/>
      <c r="Q32" s="5"/>
      <c r="R32" s="5"/>
      <c r="S32" s="5"/>
      <c r="T32" s="5"/>
      <c r="U32" s="5"/>
      <c r="V32" s="5"/>
    </row>
    <row r="33" spans="3:22" x14ac:dyDescent="0.3">
      <c r="C33" s="5"/>
      <c r="D33" s="5"/>
      <c r="E33" s="5"/>
      <c r="F33" s="5"/>
      <c r="G33" s="5"/>
      <c r="H33" s="5"/>
      <c r="I33" s="5"/>
      <c r="J33" s="5"/>
      <c r="K33" s="5"/>
      <c r="L33" s="5"/>
      <c r="M33" s="5"/>
      <c r="N33" s="5"/>
      <c r="O33" s="5"/>
      <c r="P33" s="5"/>
      <c r="Q33" s="5"/>
      <c r="R33" s="5"/>
      <c r="S33" s="5"/>
      <c r="T33" s="5"/>
      <c r="U33" s="5"/>
      <c r="V33" s="5"/>
    </row>
    <row r="34" spans="3:22" x14ac:dyDescent="0.3">
      <c r="C34" s="5"/>
      <c r="D34" s="5"/>
      <c r="E34" s="5"/>
      <c r="F34" s="5"/>
      <c r="G34" s="5"/>
      <c r="H34" s="5"/>
      <c r="I34" s="5"/>
      <c r="J34" s="5"/>
      <c r="K34" s="5"/>
      <c r="L34" s="5"/>
      <c r="M34" s="5"/>
      <c r="N34" s="5"/>
      <c r="O34" s="5"/>
      <c r="P34" s="5"/>
      <c r="Q34" s="5"/>
      <c r="R34" s="5"/>
      <c r="S34" s="5"/>
      <c r="T34" s="5"/>
      <c r="U34" s="5"/>
      <c r="V34" s="5"/>
    </row>
    <row r="35" spans="3:22" x14ac:dyDescent="0.3">
      <c r="C35" s="5"/>
      <c r="D35" s="5"/>
      <c r="E35" s="5"/>
      <c r="F35" s="5"/>
      <c r="G35" s="5"/>
      <c r="H35" s="5"/>
      <c r="I35" s="5"/>
      <c r="J35" s="5"/>
      <c r="K35" s="5"/>
      <c r="L35" s="5"/>
      <c r="M35" s="5"/>
      <c r="N35" s="5"/>
      <c r="O35" s="5"/>
      <c r="P35" s="5"/>
      <c r="Q35" s="5"/>
      <c r="R35" s="5"/>
      <c r="S35" s="5"/>
      <c r="T35" s="5"/>
      <c r="U35" s="5"/>
      <c r="V35" s="5"/>
    </row>
    <row r="36" spans="3:22" x14ac:dyDescent="0.3">
      <c r="C36" s="5"/>
      <c r="D36" s="5"/>
      <c r="E36" s="5"/>
      <c r="F36" s="5"/>
      <c r="G36" s="5"/>
      <c r="H36" s="5"/>
      <c r="I36" s="5"/>
      <c r="J36" s="5"/>
      <c r="K36" s="5"/>
      <c r="L36" s="5"/>
      <c r="M36" s="5"/>
      <c r="N36" s="5"/>
      <c r="O36" s="5"/>
      <c r="P36" s="5"/>
      <c r="Q36" s="5"/>
      <c r="R36" s="5"/>
      <c r="S36" s="5"/>
      <c r="T36" s="5"/>
      <c r="U36" s="5"/>
      <c r="V36" s="5"/>
    </row>
    <row r="37" spans="3:22" ht="12.45" customHeight="1" x14ac:dyDescent="0.3">
      <c r="C37" s="5"/>
      <c r="D37" s="5"/>
      <c r="E37" s="5"/>
      <c r="F37" s="5"/>
      <c r="G37" s="5"/>
      <c r="H37" s="5"/>
      <c r="I37" s="5"/>
      <c r="J37" s="5"/>
      <c r="K37" s="5"/>
      <c r="L37" s="5"/>
      <c r="M37" s="5"/>
      <c r="N37" s="5"/>
      <c r="O37" s="5"/>
      <c r="P37" s="5"/>
      <c r="Q37" s="5"/>
      <c r="R37" s="5"/>
      <c r="S37" s="5"/>
      <c r="T37" s="5"/>
      <c r="U37" s="5"/>
      <c r="V37" s="5"/>
    </row>
  </sheetData>
  <sheetProtection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Option Button 2">
              <controlPr defaultSize="0" autoFill="0" autoLine="0" autoPict="0">
                <anchor moveWithCells="1">
                  <from>
                    <xdr:col>19</xdr:col>
                    <xdr:colOff>281940</xdr:colOff>
                    <xdr:row>23</xdr:row>
                    <xdr:rowOff>106680</xdr:rowOff>
                  </from>
                  <to>
                    <xdr:col>20</xdr:col>
                    <xdr:colOff>541020</xdr:colOff>
                    <xdr:row>24</xdr:row>
                    <xdr:rowOff>160020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20</xdr:col>
                    <xdr:colOff>281940</xdr:colOff>
                    <xdr:row>23</xdr:row>
                    <xdr:rowOff>106680</xdr:rowOff>
                  </from>
                  <to>
                    <xdr:col>21</xdr:col>
                    <xdr:colOff>548640</xdr:colOff>
                    <xdr:row>24</xdr:row>
                    <xdr:rowOff>160020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PF Data</vt:lpstr>
      <vt:lpstr>Analysis</vt:lpstr>
      <vt:lpstr>PF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akshay vijayan</cp:lastModifiedBy>
  <dcterms:created xsi:type="dcterms:W3CDTF">2021-12-12T19:13:53Z</dcterms:created>
  <dcterms:modified xsi:type="dcterms:W3CDTF">2023-01-15T22:47:54Z</dcterms:modified>
</cp:coreProperties>
</file>